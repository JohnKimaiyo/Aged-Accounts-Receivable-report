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checkCompatibility="1"/>
  <mc:AlternateContent xmlns:mc="http://schemas.openxmlformats.org/markup-compatibility/2006">
    <mc:Choice Requires="x15">
      <x15ac:absPath xmlns:x15ac="http://schemas.microsoft.com/office/spreadsheetml/2010/11/ac" url="D:\KIMAIYO\Airline Roles\Qatart Airways\Finance Assistant - Accounts Receivable\High-Risk Accounts Report\"/>
    </mc:Choice>
  </mc:AlternateContent>
  <xr:revisionPtr revIDLastSave="0" documentId="13_ncr:10000001_{01C74533-47FA-4CB6-93FA-253423F38C6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atar_Airways_High_Risk_Account" sheetId="1" r:id="rId1"/>
    <sheet name="Summary Statistics" sheetId="2" r:id="rId2"/>
    <sheet name="Critical Risk Accounts" sheetId="3" r:id="rId3"/>
  </sheets>
  <calcPr calcId="191029"/>
  <pivotCaches>
    <pivotCache cacheId="0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" i="1" l="1"/>
  <c r="Z23" i="1"/>
  <c r="Y23" i="1"/>
  <c r="X23" i="1"/>
  <c r="V23" i="1"/>
  <c r="W23" i="1" s="1"/>
  <c r="AA22" i="1"/>
  <c r="Z22" i="1"/>
  <c r="Y22" i="1"/>
  <c r="X22" i="1"/>
  <c r="V22" i="1"/>
  <c r="W22" i="1" s="1"/>
  <c r="AA21" i="1"/>
  <c r="Z21" i="1"/>
  <c r="Y21" i="1"/>
  <c r="X21" i="1"/>
  <c r="V21" i="1"/>
  <c r="W21" i="1" s="1"/>
  <c r="AA20" i="1"/>
  <c r="Z20" i="1"/>
  <c r="Y20" i="1"/>
  <c r="X20" i="1"/>
  <c r="V20" i="1"/>
  <c r="W20" i="1" s="1"/>
  <c r="AA19" i="1"/>
  <c r="Z19" i="1"/>
  <c r="Y19" i="1"/>
  <c r="X19" i="1"/>
  <c r="V19" i="1"/>
  <c r="W19" i="1" s="1"/>
  <c r="AA18" i="1"/>
  <c r="Z18" i="1"/>
  <c r="Y18" i="1"/>
  <c r="X18" i="1"/>
  <c r="V18" i="1"/>
  <c r="W18" i="1" s="1"/>
  <c r="AA17" i="1"/>
  <c r="Z17" i="1"/>
  <c r="Y17" i="1"/>
  <c r="X17" i="1"/>
  <c r="V17" i="1"/>
  <c r="W17" i="1" s="1"/>
  <c r="AA16" i="1"/>
  <c r="Z16" i="1"/>
  <c r="Y16" i="1"/>
  <c r="X16" i="1"/>
  <c r="V16" i="1"/>
  <c r="W16" i="1" s="1"/>
  <c r="AA15" i="1"/>
  <c r="Z15" i="1"/>
  <c r="Y15" i="1"/>
  <c r="X15" i="1"/>
  <c r="V15" i="1"/>
  <c r="W15" i="1" s="1"/>
  <c r="AA14" i="1"/>
  <c r="Z14" i="1"/>
  <c r="Y14" i="1"/>
  <c r="X14" i="1"/>
  <c r="V14" i="1"/>
  <c r="W14" i="1" s="1"/>
  <c r="AA13" i="1"/>
  <c r="Z13" i="1"/>
  <c r="Y13" i="1"/>
  <c r="X13" i="1"/>
  <c r="V13" i="1"/>
  <c r="W13" i="1" s="1"/>
  <c r="AA12" i="1"/>
  <c r="Z12" i="1"/>
  <c r="Y12" i="1"/>
  <c r="X12" i="1"/>
  <c r="V12" i="1"/>
  <c r="W12" i="1" s="1"/>
  <c r="AA11" i="1"/>
  <c r="Z11" i="1"/>
  <c r="Y11" i="1"/>
  <c r="X11" i="1"/>
  <c r="V11" i="1"/>
  <c r="W11" i="1" s="1"/>
  <c r="AA10" i="1"/>
  <c r="Z10" i="1"/>
  <c r="Y10" i="1"/>
  <c r="X10" i="1"/>
  <c r="V10" i="1"/>
  <c r="W10" i="1" s="1"/>
  <c r="AA9" i="1"/>
  <c r="Z9" i="1"/>
  <c r="Y9" i="1"/>
  <c r="X9" i="1"/>
  <c r="V9" i="1"/>
  <c r="W9" i="1" s="1"/>
  <c r="AA8" i="1"/>
  <c r="Z8" i="1"/>
  <c r="Y8" i="1"/>
  <c r="X8" i="1"/>
  <c r="V8" i="1"/>
  <c r="W8" i="1" s="1"/>
  <c r="AA7" i="1"/>
  <c r="Z7" i="1"/>
  <c r="Y7" i="1"/>
  <c r="X7" i="1"/>
  <c r="V7" i="1"/>
  <c r="W7" i="1" s="1"/>
  <c r="AA6" i="1"/>
  <c r="Z6" i="1"/>
  <c r="Y6" i="1"/>
  <c r="X6" i="1"/>
  <c r="V6" i="1"/>
  <c r="W6" i="1" s="1"/>
  <c r="AA5" i="1"/>
  <c r="Z5" i="1"/>
  <c r="Y5" i="1"/>
  <c r="X5" i="1"/>
  <c r="V5" i="1"/>
  <c r="W5" i="1" s="1"/>
  <c r="AA4" i="1"/>
  <c r="Z4" i="1"/>
  <c r="Y4" i="1"/>
  <c r="X4" i="1"/>
  <c r="V4" i="1"/>
  <c r="W4" i="1" s="1"/>
  <c r="AA3" i="1"/>
  <c r="Z3" i="1"/>
  <c r="Y3" i="1"/>
  <c r="X3" i="1"/>
  <c r="V3" i="1"/>
  <c r="W3" i="1" s="1"/>
  <c r="AA2" i="1"/>
  <c r="Z2" i="1"/>
  <c r="Y2" i="1"/>
  <c r="X2" i="1"/>
  <c r="V2" i="1"/>
  <c r="W2" i="1" s="1"/>
</calcChain>
</file>

<file path=xl/sharedStrings.xml><?xml version="1.0" encoding="utf-8"?>
<sst xmlns="http://schemas.openxmlformats.org/spreadsheetml/2006/main" count="412" uniqueCount="161">
  <si>
    <t>Account ID</t>
  </si>
  <si>
    <t>Account Name</t>
  </si>
  <si>
    <t>Account Type</t>
  </si>
  <si>
    <t>Department</t>
  </si>
  <si>
    <t>Contact Person</t>
  </si>
  <si>
    <t>Contact Email</t>
  </si>
  <si>
    <t>Account Age (months)</t>
  </si>
  <si>
    <t>Current Balance (QAR)</t>
  </si>
  <si>
    <t>Credit Limit (QAR)</t>
  </si>
  <si>
    <t>Credit Utilization %</t>
  </si>
  <si>
    <t>Overdue Balance (QAR)</t>
  </si>
  <si>
    <t>Overdue Days</t>
  </si>
  <si>
    <t>Overdue Category</t>
  </si>
  <si>
    <t>Returned Cheques Count</t>
  </si>
  <si>
    <t>Broken Payment Promises</t>
  </si>
  <si>
    <t>Last Payment Date</t>
  </si>
  <si>
    <t>Risk Score</t>
  </si>
  <si>
    <t>Risk Level</t>
  </si>
  <si>
    <t>Action Required</t>
  </si>
  <si>
    <t>Escalation Level</t>
  </si>
  <si>
    <t>Created Date</t>
  </si>
  <si>
    <t>QA-ACC-1020</t>
  </si>
  <si>
    <t>United Development Company</t>
  </si>
  <si>
    <t>Corporate Client</t>
  </si>
  <si>
    <t>Procurement</t>
  </si>
  <si>
    <t>Ahmed Al-Mohannadi</t>
  </si>
  <si>
    <t>ahmed.united@qatarairways.com.qa</t>
  </si>
  <si>
    <t>Severe (&gt;90 days)</t>
  </si>
  <si>
    <t>2025-09-28</t>
  </si>
  <si>
    <t>Critical</t>
  </si>
  <si>
    <t>Immediate Suspension</t>
  </si>
  <si>
    <t>2025-12-06</t>
  </si>
  <si>
    <t>QA-ACC-1021</t>
  </si>
  <si>
    <t>Qatar Islamic Bank</t>
  </si>
  <si>
    <t>Travel Management</t>
  </si>
  <si>
    <t>Fatima Al-Kuwari</t>
  </si>
  <si>
    <t>fatima.qatar@qatarairways.com.qa</t>
  </si>
  <si>
    <t>2025-10-09</t>
  </si>
  <si>
    <t>QA-ACC-1004</t>
  </si>
  <si>
    <t>Qatar Executive</t>
  </si>
  <si>
    <t>Internal Affiliate</t>
  </si>
  <si>
    <t>Khalid Al-Hajri</t>
  </si>
  <si>
    <t>khalid.qatar@qatarairways.com.qa</t>
  </si>
  <si>
    <t>2025-09-08</t>
  </si>
  <si>
    <t>QA-ACC-1009</t>
  </si>
  <si>
    <t>Mannai Corporation</t>
  </si>
  <si>
    <t>Sarah Al-Thani</t>
  </si>
  <si>
    <t>sarah.mannai@qatarairways.com.qa</t>
  </si>
  <si>
    <t>2025-11-04</t>
  </si>
  <si>
    <t>High</t>
  </si>
  <si>
    <t>Payment Plan Required</t>
  </si>
  <si>
    <t>QA-ACC-1016</t>
  </si>
  <si>
    <t>Doha Bank Corporate</t>
  </si>
  <si>
    <t>fatima.doha@qatarairways.com.qa</t>
  </si>
  <si>
    <t>2025-09-21</t>
  </si>
  <si>
    <t>QA-ACC-1000</t>
  </si>
  <si>
    <t>Qatar Airways - Corporate Travel</t>
  </si>
  <si>
    <t>Corporate Sales</t>
  </si>
  <si>
    <t>2025-09-10</t>
  </si>
  <si>
    <t>QA-ACC-1001</t>
  </si>
  <si>
    <t>Qatar Holidays</t>
  </si>
  <si>
    <t>ahmed.qatar@qatarairways.com.qa</t>
  </si>
  <si>
    <t>Current</t>
  </si>
  <si>
    <t>2025-10-04</t>
  </si>
  <si>
    <t>QA-ACC-1017</t>
  </si>
  <si>
    <t>Qatar National Bank (QNB) Corporate</t>
  </si>
  <si>
    <t>Finance</t>
  </si>
  <si>
    <t>Mohammed Al-Suwaidi</t>
  </si>
  <si>
    <t>mohammed.qatar@qatarairways.com.qa</t>
  </si>
  <si>
    <t>High (61-90 days)</t>
  </si>
  <si>
    <t>Medium</t>
  </si>
  <si>
    <t>Send Reminder &amp; Follow-up</t>
  </si>
  <si>
    <t>QA-ACC-1018</t>
  </si>
  <si>
    <t>Commercial Bank of Qatar</t>
  </si>
  <si>
    <t>fatima.commercial@qatarairways.com.qa</t>
  </si>
  <si>
    <t>2025-10-12</t>
  </si>
  <si>
    <t>QA-ACC-1008</t>
  </si>
  <si>
    <t>Gulf Contracting Co.</t>
  </si>
  <si>
    <t>mohammed.gulf@qatarairways.com.qa</t>
  </si>
  <si>
    <t>2025-10-23</t>
  </si>
  <si>
    <t>QA-ACC-1019</t>
  </si>
  <si>
    <t>Barwa Real Estate Group</t>
  </si>
  <si>
    <t>Operations</t>
  </si>
  <si>
    <t>ahmed.barwa@qatarairways.com.qa</t>
  </si>
  <si>
    <t>2025-10-24</t>
  </si>
  <si>
    <t>QA-ACC-1005</t>
  </si>
  <si>
    <t>Al Maha Airways</t>
  </si>
  <si>
    <t>ahmed.al@qatarairways.com.qa</t>
  </si>
  <si>
    <t>Moderate (31-60 days)</t>
  </si>
  <si>
    <t>2025-10-18</t>
  </si>
  <si>
    <t>QA-ACC-1010</t>
  </si>
  <si>
    <t>Power International Holding</t>
  </si>
  <si>
    <t>ahmed.power@qatarairways.com.qa</t>
  </si>
  <si>
    <t>2025-11-14</t>
  </si>
  <si>
    <t>Low</t>
  </si>
  <si>
    <t>Monitor Closely</t>
  </si>
  <si>
    <t>QA-ACC-1003</t>
  </si>
  <si>
    <t>Qatar Aviation Services</t>
  </si>
  <si>
    <t>QA-ACC-1006</t>
  </si>
  <si>
    <t>Qatar Airways Cargo</t>
  </si>
  <si>
    <t>Ali Al-Ansari</t>
  </si>
  <si>
    <t>ali.qatar@qatarairways.com.qa</t>
  </si>
  <si>
    <t>2025-11-19</t>
  </si>
  <si>
    <t>QA-ACC-1015</t>
  </si>
  <si>
    <t>Al Fardan Exchange</t>
  </si>
  <si>
    <t>mohammed.al@qatarairways.com.qa</t>
  </si>
  <si>
    <t>2025-10-06</t>
  </si>
  <si>
    <t>QA-ACC-1014</t>
  </si>
  <si>
    <t>Al Abdulghani Motors</t>
  </si>
  <si>
    <t>fatima.al@qatarairways.com.qa</t>
  </si>
  <si>
    <t>2025-09-12</t>
  </si>
  <si>
    <t>QA-ACC-1007</t>
  </si>
  <si>
    <t>Al Jaber Engineering LLC</t>
  </si>
  <si>
    <t>QA-ACC-1013</t>
  </si>
  <si>
    <t>Al Bandary International Group</t>
  </si>
  <si>
    <t>ali.al@qatarairways.com.qa</t>
  </si>
  <si>
    <t>2025-12-03</t>
  </si>
  <si>
    <t>Normal</t>
  </si>
  <si>
    <t>Standard Monitoring</t>
  </si>
  <si>
    <t>QA-ACC-1002</t>
  </si>
  <si>
    <t>Qatar Duty Free</t>
  </si>
  <si>
    <t>2025-10-26</t>
  </si>
  <si>
    <t>QA-ACC-1012</t>
  </si>
  <si>
    <t>Medgulf Construction</t>
  </si>
  <si>
    <t>ali.medgulf@qatarairways.com.qa</t>
  </si>
  <si>
    <t>2025-09-19</t>
  </si>
  <si>
    <t>QA-ACC-1011</t>
  </si>
  <si>
    <t>UrbaCon Trading &amp; Contracting</t>
  </si>
  <si>
    <t>mohammed.urbacon@qatarairways.com.qa</t>
  </si>
  <si>
    <t>2025-10-21</t>
  </si>
  <si>
    <t>Metric</t>
  </si>
  <si>
    <t>Value</t>
  </si>
  <si>
    <t>Total Accounts</t>
  </si>
  <si>
    <t>Critical Risk Accounts</t>
  </si>
  <si>
    <t>High Risk Accounts</t>
  </si>
  <si>
    <t>Medium Risk Accounts</t>
  </si>
  <si>
    <t>Average Risk Score</t>
  </si>
  <si>
    <t>Total Overdue Balance (QAR)</t>
  </si>
  <si>
    <t>Accounts with Returned Cheques</t>
  </si>
  <si>
    <t>Accounts with Broken Promises</t>
  </si>
  <si>
    <t>Last Paymemnt</t>
  </si>
  <si>
    <t>Todays Date</t>
  </si>
  <si>
    <t>Credit Limit Remaining</t>
  </si>
  <si>
    <t xml:space="preserve">Overdue to Credit Limit %  </t>
  </si>
  <si>
    <t>Average MonthLY  Balance</t>
  </si>
  <si>
    <t>Payment Promise Breach Flag</t>
  </si>
  <si>
    <t>Row Labels</t>
  </si>
  <si>
    <t>Grand Total</t>
  </si>
  <si>
    <t>Count of Account ID</t>
  </si>
  <si>
    <t>Sum of Overdue Balance (QAR)</t>
  </si>
  <si>
    <t>Sum of Risk Score</t>
  </si>
  <si>
    <t>Sum of Overdue Days</t>
  </si>
  <si>
    <t>Average of Risk Score</t>
  </si>
  <si>
    <t>Max of Overdue Balance (QAR)</t>
  </si>
  <si>
    <t xml:space="preserve"> Risk Level Overview Dashboard</t>
  </si>
  <si>
    <t>Average of Credit Utilization %</t>
  </si>
  <si>
    <t>Count of Broken Payment Promises</t>
  </si>
  <si>
    <t>Department-Wise Risk Analysis</t>
  </si>
  <si>
    <t>Sum of Current Balance (QAR)</t>
  </si>
  <si>
    <t>Sum of Credit Limit (QAR)</t>
  </si>
  <si>
    <t>Credit Limit Utilization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</si>
</sst>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1" fontId="1" fillId="0" borderId="2" xfId="0" applyNumberFormat="1" applyFont="1" applyBorder="1" applyAlignment="1">
      <alignment horizontal="center" vertical="top"/>
    </xf>
    <xf numFmtId="1" fontId="0" fillId="0" borderId="0" xfId="0" applyNumberFormat="1"/>
    <xf numFmtId="43" fontId="1" fillId="0" borderId="2" xfId="1" applyFont="1" applyBorder="1" applyAlignment="1">
      <alignment horizontal="center" vertical="top"/>
    </xf>
    <xf numFmtId="43" fontId="0" fillId="0" borderId="0" xfId="1" applyFont="1"/>
    <xf numFmtId="9" fontId="1" fillId="0" borderId="2" xfId="2" applyFont="1" applyBorder="1" applyAlignment="1">
      <alignment horizontal="center" vertical="top"/>
    </xf>
    <xf numFmtId="9" fontId="0" fillId="0" borderId="0" xfId="2" applyFon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0" applyNumberFormat="1" applyBorder="1"/>
    <xf numFmtId="4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43" fontId="0" fillId="0" borderId="2" xfId="0" pivotButton="1" applyNumberFormat="1" applyBorder="1"/>
    <xf numFmtId="43" fontId="0" fillId="0" borderId="2" xfId="0" applyNumberForma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2">
    <dxf>
      <numFmt numFmtId="0" formatCode="General"/>
    </dxf>
    <dxf>
      <numFmt numFmtId="1" formatCode="0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eradmin" refreshedDate="45997.632989699072" createdVersion="8" refreshedVersion="8" minRefreshableVersion="3" recordCount="22" xr:uid="{D0A84A59-CECB-43F4-B7CA-50636608CA00}">
  <cacheSource type="worksheet">
    <worksheetSource name="Table1"/>
  </cacheSource>
  <cacheFields count="27">
    <cacheField name="Account ID" numFmtId="0">
      <sharedItems/>
    </cacheField>
    <cacheField name="Account Name" numFmtId="0">
      <sharedItems count="22">
        <s v="United Development Company"/>
        <s v="Qatar Islamic Bank"/>
        <s v="Qatar Executive"/>
        <s v="Mannai Corporation"/>
        <s v="Doha Bank Corporate"/>
        <s v="Qatar Airways - Corporate Travel"/>
        <s v="Qatar Holidays"/>
        <s v="Qatar National Bank (QNB) Corporate"/>
        <s v="Commercial Bank of Qatar"/>
        <s v="Gulf Contracting Co."/>
        <s v="Barwa Real Estate Group"/>
        <s v="Al Maha Airways"/>
        <s v="Power International Holding"/>
        <s v="Qatar Aviation Services"/>
        <s v="Qatar Airways Cargo"/>
        <s v="Al Fardan Exchange"/>
        <s v="Al Abdulghani Motors"/>
        <s v="Al Jaber Engineering LLC"/>
        <s v="Al Bandary International Group"/>
        <s v="Qatar Duty Free"/>
        <s v="Medgulf Construction"/>
        <s v="UrbaCon Trading &amp; Contracting"/>
      </sharedItems>
    </cacheField>
    <cacheField name="Account Type" numFmtId="0">
      <sharedItems/>
    </cacheField>
    <cacheField name="Department" numFmtId="0">
      <sharedItems count="5">
        <s v="Procurement"/>
        <s v="Travel Management"/>
        <s v="Corporate Sales"/>
        <s v="Finance"/>
        <s v="Operations"/>
      </sharedItems>
    </cacheField>
    <cacheField name="Contact Person" numFmtId="0">
      <sharedItems/>
    </cacheField>
    <cacheField name="Contact Email" numFmtId="0">
      <sharedItems/>
    </cacheField>
    <cacheField name="Account Age (months)" numFmtId="0">
      <sharedItems containsSemiMixedTypes="0" containsString="0" containsNumber="1" containsInteger="1" minValue="6" maxValue="59"/>
    </cacheField>
    <cacheField name="Current Balance (QAR)" numFmtId="0">
      <sharedItems containsSemiMixedTypes="0" containsString="0" containsNumber="1" minValue="127400.21" maxValue="4928969.75"/>
    </cacheField>
    <cacheField name="Credit Limit (QAR)" numFmtId="0">
      <sharedItems containsSemiMixedTypes="0" containsString="0" containsNumber="1" minValue="993868.72" maxValue="9768488.0600000005"/>
    </cacheField>
    <cacheField name="Credit Utilization %" numFmtId="0">
      <sharedItems containsSemiMixedTypes="0" containsString="0" containsNumber="1" minValue="2.97" maxValue="271.88" count="22">
        <n v="197.45"/>
        <n v="271.88"/>
        <n v="63.01"/>
        <n v="2.97"/>
        <n v="126.5"/>
        <n v="208.4"/>
        <n v="42.55"/>
        <n v="90.09"/>
        <n v="20.14"/>
        <n v="56.42"/>
        <n v="14.03"/>
        <n v="47.98"/>
        <n v="70.81"/>
        <n v="202.55"/>
        <n v="87.93"/>
        <n v="57.43"/>
        <n v="12.16"/>
        <n v="56.74"/>
        <n v="13.46"/>
        <n v="50.47"/>
        <n v="58.69"/>
        <n v="56.2"/>
      </sharedItems>
    </cacheField>
    <cacheField name="Overdue Balance (QAR)" numFmtId="0">
      <sharedItems containsSemiMixedTypes="0" containsString="0" containsNumber="1" minValue="0" maxValue="907760.16" count="16">
        <n v="764003.42"/>
        <n v="327572.26"/>
        <n v="23132.31"/>
        <n v="44455.57"/>
        <n v="907760.16"/>
        <n v="600881.66"/>
        <n v="0"/>
        <n v="489981.67"/>
        <n v="74243.320000000007"/>
        <n v="590883.65"/>
        <n v="42720.23"/>
        <n v="613896.68999999994"/>
        <n v="851538.19"/>
        <n v="872745.98"/>
        <n v="158171.89000000001"/>
        <n v="729999.28"/>
      </sharedItems>
    </cacheField>
    <cacheField name="Overdue Days" numFmtId="0">
      <sharedItems containsSemiMixedTypes="0" containsString="0" containsNumber="1" containsInteger="1" minValue="0" maxValue="158"/>
    </cacheField>
    <cacheField name="Overdue Category" numFmtId="0">
      <sharedItems/>
    </cacheField>
    <cacheField name="Returned Cheques Count" numFmtId="0">
      <sharedItems containsSemiMixedTypes="0" containsString="0" containsNumber="1" containsInteger="1" minValue="0" maxValue="4"/>
    </cacheField>
    <cacheField name="Broken Payment Promises" numFmtId="0">
      <sharedItems containsSemiMixedTypes="0" containsString="0" containsNumber="1" containsInteger="1" minValue="0" maxValue="5"/>
    </cacheField>
    <cacheField name="Last Payment Date" numFmtId="0">
      <sharedItems/>
    </cacheField>
    <cacheField name="Risk Score" numFmtId="0">
      <sharedItems containsSemiMixedTypes="0" containsString="0" containsNumber="1" containsInteger="1" minValue="0" maxValue="85"/>
    </cacheField>
    <cacheField name="Risk Level" numFmtId="0">
      <sharedItems count="5">
        <s v="Critical"/>
        <s v="High"/>
        <s v="Medium"/>
        <s v="Low"/>
        <s v="Normal"/>
      </sharedItems>
    </cacheField>
    <cacheField name="Action Required" numFmtId="0">
      <sharedItems/>
    </cacheField>
    <cacheField name="Escalation Level" numFmtId="0">
      <sharedItems/>
    </cacheField>
    <cacheField name="Created Date" numFmtId="0">
      <sharedItems/>
    </cacheField>
    <cacheField name="Todays Date" numFmtId="14">
      <sharedItems containsSemiMixedTypes="0" containsNonDate="0" containsDate="1" containsString="0" minDate="2025-12-06T00:00:00" maxDate="2025-12-07T00:00:00"/>
    </cacheField>
    <cacheField name="Last Paymemnt" numFmtId="1">
      <sharedItems containsSemiMixedTypes="0" containsString="0" containsNumber="1" containsInteger="1" minValue="3" maxValue="89"/>
    </cacheField>
    <cacheField name="Credit Limit Remaining" numFmtId="43">
      <sharedItems containsSemiMixedTypes="0" containsString="0" containsNumber="1" minValue="400910.58999999997" maxValue="9725767.8300000001"/>
    </cacheField>
    <cacheField name="Average MonthLY  Balance" numFmtId="43">
      <sharedItems containsSemiMixedTypes="0" containsString="0" containsNumber="1" minValue="19201.404915254236" maxValue="538338.12624999997"/>
    </cacheField>
    <cacheField name="Overdue to Credit Limit %  " numFmtId="9">
      <sharedItems containsSemiMixedTypes="0" containsString="0" containsNumber="1" minValue="2.9685430535407828E-2" maxValue="2.7187541328395968"/>
    </cacheField>
    <cacheField name="Payment Promise Breach 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QA-ACC-1020"/>
    <x v="0"/>
    <s v="Corporate Client"/>
    <x v="0"/>
    <s v="Ahmed Al-Mohannadi"/>
    <s v="ahmed.united@qatarairways.com.qa"/>
    <n v="31"/>
    <n v="4928969.75"/>
    <n v="2496347.19"/>
    <x v="0"/>
    <x v="0"/>
    <n v="152"/>
    <s v="Severe (&gt;90 days)"/>
    <n v="0"/>
    <n v="5"/>
    <s v="2025-09-28"/>
    <n v="85"/>
    <x v="0"/>
    <s v="Immediate Suspension"/>
    <s v="Critical"/>
    <s v="2025-12-06"/>
    <d v="2025-12-06T00:00:00"/>
    <n v="69"/>
    <n v="1732343.77"/>
    <n v="158999.02419354839"/>
    <n v="1.9744728496679984"/>
    <s v="Yes"/>
  </r>
  <r>
    <s v="QA-ACC-1021"/>
    <x v="1"/>
    <s v="Corporate Client"/>
    <x v="1"/>
    <s v="Fatima Al-Kuwari"/>
    <s v="fatima.qatar@qatarairways.com.qa"/>
    <n v="27"/>
    <n v="2702084.69"/>
    <n v="993868.72"/>
    <x v="1"/>
    <x v="1"/>
    <n v="99"/>
    <s v="Severe (&gt;90 days)"/>
    <n v="0"/>
    <n v="4"/>
    <s v="2025-10-09"/>
    <n v="80"/>
    <x v="0"/>
    <s v="Immediate Suspension"/>
    <s v="Critical"/>
    <s v="2025-12-06"/>
    <d v="2025-12-06T00:00:00"/>
    <n v="58"/>
    <n v="666296.46"/>
    <n v="100077.21074074075"/>
    <n v="2.7187541328395968"/>
    <s v="Yes"/>
  </r>
  <r>
    <s v="QA-ACC-1004"/>
    <x v="2"/>
    <s v="Internal Affiliate"/>
    <x v="1"/>
    <s v="Khalid Al-Hajri"/>
    <s v="khalid.qatar@qatarairways.com.qa"/>
    <n v="8"/>
    <n v="4306705.01"/>
    <n v="6835044.6299999999"/>
    <x v="2"/>
    <x v="2"/>
    <n v="118"/>
    <s v="Severe (&gt;90 days)"/>
    <n v="2"/>
    <n v="0"/>
    <s v="2025-09-08"/>
    <n v="70"/>
    <x v="0"/>
    <s v="Immediate Suspension"/>
    <s v="Critical"/>
    <s v="2025-12-06"/>
    <d v="2025-12-06T00:00:00"/>
    <n v="89"/>
    <n v="6811912.3200000003"/>
    <n v="538338.12624999997"/>
    <n v="0.63009171748451331"/>
    <s v="No"/>
  </r>
  <r>
    <s v="QA-ACC-1009"/>
    <x v="3"/>
    <s v="Corporate Client"/>
    <x v="1"/>
    <s v="Sarah Al-Thani"/>
    <s v="sarah.mannai@qatarairways.com.qa"/>
    <n v="6"/>
    <n v="127400.21"/>
    <n v="4291674.66"/>
    <x v="3"/>
    <x v="3"/>
    <n v="92"/>
    <s v="Severe (&gt;90 days)"/>
    <n v="1"/>
    <n v="3"/>
    <s v="2025-11-04"/>
    <n v="65"/>
    <x v="1"/>
    <s v="Payment Plan Required"/>
    <s v="High"/>
    <s v="2025-12-06"/>
    <d v="2025-12-06T00:00:00"/>
    <n v="32"/>
    <n v="4247219.09"/>
    <n v="21233.368333333336"/>
    <n v="2.9685430535407828E-2"/>
    <s v="Yes"/>
  </r>
  <r>
    <s v="QA-ACC-1016"/>
    <x v="4"/>
    <s v="Corporate Client"/>
    <x v="0"/>
    <s v="Fatima Al-Kuwari"/>
    <s v="fatima.doha@qatarairways.com.qa"/>
    <n v="16"/>
    <n v="1655507.85"/>
    <n v="1308670.75"/>
    <x v="4"/>
    <x v="4"/>
    <n v="158"/>
    <s v="Severe (&gt;90 days)"/>
    <n v="0"/>
    <n v="0"/>
    <s v="2025-09-21"/>
    <n v="60"/>
    <x v="1"/>
    <s v="Payment Plan Required"/>
    <s v="High"/>
    <s v="2025-12-06"/>
    <d v="2025-12-06T00:00:00"/>
    <n v="76"/>
    <n v="400910.58999999997"/>
    <n v="103469.24062500001"/>
    <n v="1.2650300696336341"/>
    <s v="No"/>
  </r>
  <r>
    <s v="QA-ACC-1000"/>
    <x v="5"/>
    <s v="Internal Affiliate"/>
    <x v="2"/>
    <s v="Khalid Al-Hajri"/>
    <s v="khalid.qatar@qatarairways.com.qa"/>
    <n v="44"/>
    <n v="3992887.78"/>
    <n v="1916004.42"/>
    <x v="5"/>
    <x v="5"/>
    <n v="151"/>
    <s v="Severe (&gt;90 days)"/>
    <n v="0"/>
    <n v="0"/>
    <s v="2025-09-10"/>
    <n v="60"/>
    <x v="1"/>
    <s v="Payment Plan Required"/>
    <s v="High"/>
    <s v="2025-12-06"/>
    <d v="2025-12-06T00:00:00"/>
    <n v="87"/>
    <n v="1315122.7599999998"/>
    <n v="90747.449545454539"/>
    <n v="2.0839658501414102"/>
    <s v="No"/>
  </r>
  <r>
    <s v="QA-ACC-1001"/>
    <x v="6"/>
    <s v="Internal Affiliate"/>
    <x v="0"/>
    <s v="Ahmed Al-Mohannadi"/>
    <s v="ahmed.qatar@qatarairways.com.qa"/>
    <n v="58"/>
    <n v="3025519.31"/>
    <n v="7109918.5199999996"/>
    <x v="6"/>
    <x v="6"/>
    <n v="0"/>
    <s v="Current"/>
    <n v="4"/>
    <n v="2"/>
    <s v="2025-10-04"/>
    <n v="50"/>
    <x v="1"/>
    <s v="Payment Plan Required"/>
    <s v="High"/>
    <s v="2025-12-06"/>
    <d v="2025-12-06T00:00:00"/>
    <n v="63"/>
    <n v="7109918.5199999996"/>
    <n v="52164.126034482761"/>
    <n v="0.42553501864884946"/>
    <s v="Yes"/>
  </r>
  <r>
    <s v="QA-ACC-1017"/>
    <x v="7"/>
    <s v="Corporate Client"/>
    <x v="3"/>
    <s v="Mohammed Al-Suwaidi"/>
    <s v="mohammed.qatar@qatarairways.com.qa"/>
    <n v="46"/>
    <n v="1558667.23"/>
    <n v="1730092.95"/>
    <x v="7"/>
    <x v="7"/>
    <n v="80"/>
    <s v="High (61-90 days)"/>
    <n v="0"/>
    <n v="0"/>
    <s v="2025-10-09"/>
    <n v="45"/>
    <x v="2"/>
    <s v="Send Reminder &amp; Follow-up"/>
    <s v="Medium"/>
    <s v="2025-12-06"/>
    <d v="2025-12-06T00:00:00"/>
    <n v="58"/>
    <n v="1240111.28"/>
    <n v="33884.070217391301"/>
    <n v="0.90091531209349185"/>
    <s v="No"/>
  </r>
  <r>
    <s v="QA-ACC-1018"/>
    <x v="8"/>
    <s v="Corporate Client"/>
    <x v="2"/>
    <s v="Fatima Al-Kuwari"/>
    <s v="fatima.commercial@qatarairways.com.qa"/>
    <n v="59"/>
    <n v="1132882.8899999999"/>
    <n v="5625209.8200000003"/>
    <x v="8"/>
    <x v="8"/>
    <n v="81"/>
    <s v="High (61-90 days)"/>
    <n v="0"/>
    <n v="3"/>
    <s v="2025-10-12"/>
    <n v="40"/>
    <x v="2"/>
    <s v="Send Reminder &amp; Follow-up"/>
    <s v="Medium"/>
    <s v="2025-12-06"/>
    <d v="2025-12-06T00:00:00"/>
    <n v="55"/>
    <n v="5550966.5"/>
    <n v="19201.404915254236"/>
    <n v="0.20139389040602931"/>
    <s v="Yes"/>
  </r>
  <r>
    <s v="QA-ACC-1008"/>
    <x v="9"/>
    <s v="Corporate Client"/>
    <x v="3"/>
    <s v="Mohammed Al-Suwaidi"/>
    <s v="mohammed.gulf@qatarairways.com.qa"/>
    <n v="45"/>
    <n v="4230442.55"/>
    <n v="7498469.0899999999"/>
    <x v="9"/>
    <x v="9"/>
    <n v="153"/>
    <s v="Severe (&gt;90 days)"/>
    <n v="0"/>
    <n v="0"/>
    <s v="2025-10-23"/>
    <n v="40"/>
    <x v="2"/>
    <s v="Send Reminder &amp; Follow-up"/>
    <s v="Medium"/>
    <s v="2025-12-06"/>
    <d v="2025-12-06T00:00:00"/>
    <n v="44"/>
    <n v="6907585.4399999995"/>
    <n v="94009.834444444437"/>
    <n v="0.56417416664979547"/>
    <s v="No"/>
  </r>
  <r>
    <s v="QA-ACC-1019"/>
    <x v="10"/>
    <s v="Corporate Client"/>
    <x v="4"/>
    <s v="Ahmed Al-Mohannadi"/>
    <s v="ahmed.barwa@qatarairways.com.qa"/>
    <n v="22"/>
    <n v="1370566.02"/>
    <n v="9768488.0600000005"/>
    <x v="10"/>
    <x v="10"/>
    <n v="158"/>
    <s v="Severe (&gt;90 days)"/>
    <n v="0"/>
    <n v="0"/>
    <s v="2025-10-24"/>
    <n v="40"/>
    <x v="2"/>
    <s v="Send Reminder &amp; Follow-up"/>
    <s v="Medium"/>
    <s v="2025-12-06"/>
    <d v="2025-12-06T00:00:00"/>
    <n v="43"/>
    <n v="9725767.8300000001"/>
    <n v="62298.455454545452"/>
    <n v="0.14030482625168914"/>
    <s v="No"/>
  </r>
  <r>
    <s v="QA-ACC-1005"/>
    <x v="11"/>
    <s v="Internal Affiliate"/>
    <x v="1"/>
    <s v="Ahmed Al-Mohannadi"/>
    <s v="ahmed.al@qatarairways.com.qa"/>
    <n v="58"/>
    <n v="1192924.44"/>
    <n v="2486152.11"/>
    <x v="11"/>
    <x v="11"/>
    <n v="37"/>
    <s v="Moderate (31-60 days)"/>
    <n v="0"/>
    <n v="4"/>
    <s v="2025-10-18"/>
    <n v="35"/>
    <x v="2"/>
    <s v="Send Reminder &amp; Follow-up"/>
    <s v="Medium"/>
    <s v="2025-12-06"/>
    <d v="2025-12-06T00:00:00"/>
    <n v="49"/>
    <n v="1872255.42"/>
    <n v="20567.662758620689"/>
    <n v="0.47982761601823309"/>
    <s v="Yes"/>
  </r>
  <r>
    <s v="QA-ACC-1010"/>
    <x v="12"/>
    <s v="Corporate Client"/>
    <x v="1"/>
    <s v="Ahmed Al-Mohannadi"/>
    <s v="ahmed.power@qatarairways.com.qa"/>
    <n v="10"/>
    <n v="4635189.3499999996"/>
    <n v="6545662.5499999998"/>
    <x v="12"/>
    <x v="12"/>
    <n v="41"/>
    <s v="Moderate (31-60 days)"/>
    <n v="0"/>
    <n v="0"/>
    <s v="2025-11-14"/>
    <n v="25"/>
    <x v="3"/>
    <s v="Monitor Closely"/>
    <s v="Low"/>
    <s v="2025-12-06"/>
    <d v="2025-12-06T00:00:00"/>
    <n v="22"/>
    <n v="5694124.3599999994"/>
    <n v="463518.93499999994"/>
    <n v="0.7081314251373988"/>
    <s v="No"/>
  </r>
  <r>
    <s v="QA-ACC-1003"/>
    <x v="13"/>
    <s v="Internal Affiliate"/>
    <x v="2"/>
    <s v="Mohammed Al-Suwaidi"/>
    <s v="mohammed.qatar@qatarairways.com.qa"/>
    <n v="33"/>
    <n v="4870089.82"/>
    <n v="2404436.27"/>
    <x v="13"/>
    <x v="6"/>
    <n v="0"/>
    <s v="Current"/>
    <n v="0"/>
    <n v="0"/>
    <s v="2025-10-04"/>
    <n v="20"/>
    <x v="3"/>
    <s v="Monitor Closely"/>
    <s v="Low"/>
    <s v="2025-12-06"/>
    <d v="2025-12-06T00:00:00"/>
    <n v="63"/>
    <n v="2404436.27"/>
    <n v="147578.4793939394"/>
    <n v="2.0254601383134188"/>
    <s v="No"/>
  </r>
  <r>
    <s v="QA-ACC-1006"/>
    <x v="14"/>
    <s v="Internal Affiliate"/>
    <x v="2"/>
    <s v="Ali Al-Ansari"/>
    <s v="ali.qatar@qatarairways.com.qa"/>
    <n v="45"/>
    <n v="3789038.98"/>
    <n v="4309043.16"/>
    <x v="14"/>
    <x v="6"/>
    <n v="0"/>
    <s v="Current"/>
    <n v="0"/>
    <n v="0"/>
    <s v="2025-11-19"/>
    <n v="20"/>
    <x v="3"/>
    <s v="Monitor Closely"/>
    <s v="Low"/>
    <s v="2025-12-06"/>
    <d v="2025-12-06T00:00:00"/>
    <n v="17"/>
    <n v="4309043.16"/>
    <n v="84200.866222222219"/>
    <n v="0.87932258724463552"/>
    <s v="No"/>
  </r>
  <r>
    <s v="QA-ACC-1015"/>
    <x v="15"/>
    <s v="Corporate Client"/>
    <x v="4"/>
    <s v="Mohammed Al-Suwaidi"/>
    <s v="mohammed.al@qatarairways.com.qa"/>
    <n v="33"/>
    <n v="4652003.38"/>
    <n v="8100391.7599999998"/>
    <x v="15"/>
    <x v="13"/>
    <n v="57"/>
    <s v="Moderate (31-60 days)"/>
    <n v="0"/>
    <n v="0"/>
    <s v="2025-10-06"/>
    <n v="15"/>
    <x v="3"/>
    <s v="Monitor Closely"/>
    <s v="Low"/>
    <s v="2025-12-06"/>
    <d v="2025-12-06T00:00:00"/>
    <n v="61"/>
    <n v="7227645.7799999993"/>
    <n v="140969.79939393938"/>
    <n v="0.57429362897875447"/>
    <s v="No"/>
  </r>
  <r>
    <s v="QA-ACC-1014"/>
    <x v="16"/>
    <s v="Corporate Client"/>
    <x v="2"/>
    <s v="Fatima Al-Kuwari"/>
    <s v="fatima.al@qatarairways.com.qa"/>
    <n v="35"/>
    <n v="739690.7"/>
    <n v="6083732.0499999998"/>
    <x v="16"/>
    <x v="14"/>
    <n v="42"/>
    <s v="Moderate (31-60 days)"/>
    <n v="0"/>
    <n v="0"/>
    <s v="2025-09-12"/>
    <n v="15"/>
    <x v="3"/>
    <s v="Monitor Closely"/>
    <s v="Low"/>
    <s v="2025-12-06"/>
    <d v="2025-12-06T00:00:00"/>
    <n v="85"/>
    <n v="5925560.1600000001"/>
    <n v="21134.02"/>
    <n v="0.12158502279862901"/>
    <s v="No"/>
  </r>
  <r>
    <s v="QA-ACC-1007"/>
    <x v="17"/>
    <s v="Corporate Client"/>
    <x v="2"/>
    <s v="Ahmed Al-Mohannadi"/>
    <s v="ahmed.al@qatarairways.com.qa"/>
    <n v="31"/>
    <n v="2276282.96"/>
    <n v="4011987.34"/>
    <x v="17"/>
    <x v="15"/>
    <n v="44"/>
    <s v="Moderate (31-60 days)"/>
    <n v="0"/>
    <n v="0"/>
    <s v="2025-10-06"/>
    <n v="15"/>
    <x v="3"/>
    <s v="Monitor Closely"/>
    <s v="Low"/>
    <s v="2025-12-06"/>
    <d v="2025-12-06T00:00:00"/>
    <n v="61"/>
    <n v="3281988.0599999996"/>
    <n v="73428.482580645155"/>
    <n v="0.5673704244540313"/>
    <s v="No"/>
  </r>
  <r>
    <s v="QA-ACC-1013"/>
    <x v="18"/>
    <s v="Corporate Client"/>
    <x v="1"/>
    <s v="Ali Al-Ansari"/>
    <s v="ali.al@qatarairways.com.qa"/>
    <n v="20"/>
    <n v="598909.56000000006"/>
    <n v="4449431.37"/>
    <x v="18"/>
    <x v="6"/>
    <n v="0"/>
    <s v="Current"/>
    <n v="1"/>
    <n v="0"/>
    <s v="2025-12-03"/>
    <n v="10"/>
    <x v="4"/>
    <s v="Standard Monitoring"/>
    <s v="Normal"/>
    <s v="2025-12-06"/>
    <d v="2025-12-06T00:00:00"/>
    <n v="3"/>
    <n v="4449431.37"/>
    <n v="29945.478000000003"/>
    <n v="0.1346036179000554"/>
    <s v="No"/>
  </r>
  <r>
    <s v="QA-ACC-1002"/>
    <x v="19"/>
    <s v="Internal Affiliate"/>
    <x v="3"/>
    <s v="Mohammed Al-Suwaidi"/>
    <s v="mohammed.qatar@qatarairways.com.qa"/>
    <n v="26"/>
    <n v="3106533.47"/>
    <n v="6155366.29"/>
    <x v="19"/>
    <x v="6"/>
    <n v="0"/>
    <s v="Current"/>
    <n v="0"/>
    <n v="0"/>
    <s v="2025-10-26"/>
    <n v="0"/>
    <x v="4"/>
    <s v="Standard Monitoring"/>
    <s v="Normal"/>
    <s v="2025-12-06"/>
    <d v="2025-12-06T00:00:00"/>
    <n v="41"/>
    <n v="6155366.29"/>
    <n v="119482.05653846155"/>
    <n v="0.50468702001485599"/>
    <s v="No"/>
  </r>
  <r>
    <s v="QA-ACC-1012"/>
    <x v="20"/>
    <s v="Corporate Client"/>
    <x v="3"/>
    <s v="Ali Al-Ansari"/>
    <s v="ali.medgulf@qatarairways.com.qa"/>
    <n v="19"/>
    <n v="4252123.43"/>
    <n v="7245122.2599999998"/>
    <x v="20"/>
    <x v="6"/>
    <n v="0"/>
    <s v="Current"/>
    <n v="0"/>
    <n v="0"/>
    <s v="2025-09-19"/>
    <n v="0"/>
    <x v="4"/>
    <s v="Standard Monitoring"/>
    <s v="Normal"/>
    <s v="2025-12-06"/>
    <d v="2025-12-06T00:00:00"/>
    <n v="78"/>
    <n v="7245122.2599999998"/>
    <n v="223795.96999999997"/>
    <n v="0.58689464130588731"/>
    <s v="No"/>
  </r>
  <r>
    <s v="QA-ACC-1011"/>
    <x v="21"/>
    <s v="Corporate Client"/>
    <x v="1"/>
    <s v="Mohammed Al-Suwaidi"/>
    <s v="mohammed.urbacon@qatarairways.com.qa"/>
    <n v="29"/>
    <n v="3346315.67"/>
    <n v="5953848.0999999996"/>
    <x v="21"/>
    <x v="6"/>
    <n v="0"/>
    <s v="Current"/>
    <n v="0"/>
    <n v="0"/>
    <s v="2025-10-21"/>
    <n v="0"/>
    <x v="4"/>
    <s v="Standard Monitoring"/>
    <s v="Normal"/>
    <s v="2025-12-06"/>
    <d v="2025-12-06T00:00:00"/>
    <n v="46"/>
    <n v="5953848.0999999996"/>
    <n v="115390.19551724137"/>
    <n v="0.56204249987499688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28CC1-9D8C-4F3D-94A7-256B713FE9E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4:G67" firstHeaderRow="0" firstDataRow="1" firstDataCol="1"/>
  <pivotFields count="27">
    <pivotField showAll="0"/>
    <pivotField axis="axisRow" showAll="0">
      <items count="23">
        <item x="16"/>
        <item x="18"/>
        <item x="15"/>
        <item x="17"/>
        <item x="11"/>
        <item x="10"/>
        <item x="8"/>
        <item x="4"/>
        <item x="9"/>
        <item x="3"/>
        <item x="20"/>
        <item x="12"/>
        <item x="5"/>
        <item x="14"/>
        <item x="13"/>
        <item x="19"/>
        <item x="2"/>
        <item x="6"/>
        <item x="1"/>
        <item x="7"/>
        <item x="0"/>
        <item x="21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numFmtId="1" showAll="0"/>
    <pivotField numFmtId="43" showAll="0"/>
    <pivotField numFmtId="43" showAll="0"/>
    <pivotField numFmtId="9" showAll="0"/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Risk Score" fld="16" baseField="0" baseItem="0"/>
    <dataField name="Sum of Overdue Days" fld="11" baseField="0" baseItem="0"/>
    <dataField name="Sum of Overdue Balance (QAR)" fld="10" baseField="0" baseItem="0"/>
    <dataField name="Sum of Current Balance (QAR)" fld="7" baseField="0" baseItem="0"/>
    <dataField name="Sum of Credit Limit (QAR)" fld="8" baseField="0" baseItem="0"/>
    <dataField name="Average of Credit Utilization %" fld="9" subtotal="average" baseField="0" baseItem="0"/>
  </dataFields>
  <formats count="12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2D71D-D2AB-48E7-AF8B-B74D62A3113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D41" firstHeaderRow="0" firstDataRow="1" firstDataCol="1"/>
  <pivotFields count="27"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>
      <items count="23">
        <item x="3"/>
        <item x="16"/>
        <item x="18"/>
        <item x="10"/>
        <item x="8"/>
        <item x="6"/>
        <item x="11"/>
        <item x="19"/>
        <item x="21"/>
        <item x="9"/>
        <item x="17"/>
        <item x="15"/>
        <item x="20"/>
        <item x="2"/>
        <item x="12"/>
        <item x="14"/>
        <item x="7"/>
        <item x="4"/>
        <item x="0"/>
        <item x="13"/>
        <item x="5"/>
        <item x="1"/>
        <item t="default"/>
      </items>
    </pivotField>
    <pivotField dataField="1" showAll="0">
      <items count="17">
        <item x="6"/>
        <item x="2"/>
        <item x="10"/>
        <item x="3"/>
        <item x="8"/>
        <item x="14"/>
        <item x="1"/>
        <item x="7"/>
        <item x="9"/>
        <item x="5"/>
        <item x="11"/>
        <item x="15"/>
        <item x="0"/>
        <item x="12"/>
        <item x="1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numFmtId="1" showAll="0"/>
    <pivotField numFmtId="43" showAll="0"/>
    <pivotField numFmtId="43" showAll="0"/>
    <pivotField numFmtId="9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Broken Payment Promises" fld="14" subtotal="count" baseField="0" baseItem="0"/>
    <dataField name="Average of Credit Utilization %" fld="9" subtotal="average" baseField="0" baseItem="0" numFmtId="43"/>
    <dataField name="Sum of Overdue Balance (QAR)" fld="10" baseField="0" baseItem="0" numFmtId="43"/>
  </dataFields>
  <formats count="7">
    <format dxfId="24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B1233-20B7-4B53-8836-B5E890E67A2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E32" firstHeaderRow="0" firstDataRow="1" firstDataCol="1"/>
  <pivotFields count="2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numFmtId="14" showAll="0"/>
    <pivotField numFmtId="1" showAll="0"/>
    <pivotField numFmtId="43" showAll="0"/>
    <pivotField numFmtId="43" showAll="0"/>
    <pivotField numFmtId="9"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Account ID" fld="0" subtotal="count" baseField="0" baseItem="0"/>
    <dataField name="Sum of Overdue Days" fld="11" baseField="0" baseItem="0"/>
    <dataField name="Average of Risk Score" fld="16" subtotal="average" baseField="0" baseItem="0" numFmtId="43"/>
    <dataField name="Max of Overdue Balance (QAR)" fld="10" subtotal="max" baseField="0" baseItem="0" numFmtId="43"/>
  </dataFields>
  <formats count="7">
    <format dxfId="31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7" type="button" dataOnly="0" labelOnly="1" outline="0" axis="axisRow" fieldPosition="0"/>
    </format>
    <format dxfId="27">
      <pivotArea dataOnly="0" labelOnly="1" fieldPosition="0">
        <references count="1">
          <reference field="17" count="0"/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BC451-BEB4-4F52-ACB7-D97F25D9CA31}" name="Table1" displayName="Table1" ref="A1:AA23" totalsRowShown="0" headerRowDxfId="5" headerRowBorderDxfId="4" tableBorderDxfId="3">
  <autoFilter ref="A1:AA23" xr:uid="{A3DBC451-BEB4-4F52-ACB7-D97F25D9CA31}"/>
  <tableColumns count="27">
    <tableColumn id="1" xr3:uid="{BAADAA3C-CC5A-40D5-A00A-A76E9147567A}" name="Account ID"/>
    <tableColumn id="2" xr3:uid="{7948F764-B30B-47B3-AA28-A34BD98F2698}" name="Account Name"/>
    <tableColumn id="3" xr3:uid="{8428EF19-4BD9-4749-A746-33E2B152E11C}" name="Account Type"/>
    <tableColumn id="4" xr3:uid="{2148D286-98E5-4C20-86EE-65E196B6EB07}" name="Department"/>
    <tableColumn id="5" xr3:uid="{A6CB4E79-2D57-42A6-A7CB-D534308880CC}" name="Contact Person"/>
    <tableColumn id="6" xr3:uid="{4DACD4C6-6A89-452B-BF8B-5741E84C0AA2}" name="Contact Email"/>
    <tableColumn id="7" xr3:uid="{1B4701B5-43E2-40D6-9881-8B2E3864AD59}" name="Account Age (months)"/>
    <tableColumn id="8" xr3:uid="{C435C545-1E80-40C7-9B8A-46AC46A8DEC8}" name="Current Balance (QAR)"/>
    <tableColumn id="9" xr3:uid="{DB8C031E-68FC-48EA-8D4E-F3DC099976C2}" name="Credit Limit (QAR)"/>
    <tableColumn id="10" xr3:uid="{D7D23D9C-48EA-4A65-BC56-4895195854F1}" name="Credit Utilization %"/>
    <tableColumn id="11" xr3:uid="{B850F43E-B9B3-4035-AE4A-B361F9F1F3B4}" name="Overdue Balance (QAR)"/>
    <tableColumn id="12" xr3:uid="{4B912704-5D7A-495F-B2C5-AE16E0543CE4}" name="Overdue Days"/>
    <tableColumn id="13" xr3:uid="{20BDB221-5D6F-4742-B330-0996C914F326}" name="Overdue Category"/>
    <tableColumn id="14" xr3:uid="{6C01D985-4CAB-4A1F-A620-5B74E4C18EC9}" name="Returned Cheques Count"/>
    <tableColumn id="15" xr3:uid="{A22644D2-A734-44E7-9202-5AD6603A262C}" name="Broken Payment Promises"/>
    <tableColumn id="16" xr3:uid="{A8526370-AEB5-4D8F-92F2-140B9F6355C4}" name="Last Payment Date"/>
    <tableColumn id="17" xr3:uid="{0807DD68-5B51-4B87-BFFC-D6421527B572}" name="Risk Score"/>
    <tableColumn id="18" xr3:uid="{23AC4EE6-5C09-4F25-904B-CD9E649FCA76}" name="Risk Level"/>
    <tableColumn id="19" xr3:uid="{47419F88-23DA-4ED3-B872-D752D498B2C9}" name="Action Required"/>
    <tableColumn id="20" xr3:uid="{E6A62A95-4012-4D09-BF58-4D5BCCDA4C99}" name="Escalation Level"/>
    <tableColumn id="21" xr3:uid="{409C6510-07E0-48A8-B0F3-3019217F4F57}" name="Created Date"/>
    <tableColumn id="23" xr3:uid="{52D237EC-A92C-467E-ADD2-7912C2303A54}" name="Todays Date" dataDxfId="2">
      <calculatedColumnFormula>TODAY()</calculatedColumnFormula>
    </tableColumn>
    <tableColumn id="24" xr3:uid="{3A568986-B62B-4040-B4E3-7BC7C3D9A4C6}" name="Last Paymemnt" dataDxfId="1">
      <calculatedColumnFormula>Table1[[#This Row],[Todays Date]]-Table1[[#This Row],[Last Payment Date]]</calculatedColumnFormula>
    </tableColumn>
    <tableColumn id="25" xr3:uid="{9B74EFAA-C1E2-4E54-A416-7D54F9D8D2FD}" name="Credit Limit Remaining" dataCellStyle="Comma">
      <calculatedColumnFormula>Table1[[#This Row],[Credit Limit (QAR)]]-Table1[[#This Row],[Overdue Balance (QAR)]]</calculatedColumnFormula>
    </tableColumn>
    <tableColumn id="26" xr3:uid="{7C016C79-9441-428B-AFD2-AA7BF210CDC6}" name="Average MonthLY  Balance" dataCellStyle="Comma">
      <calculatedColumnFormula>Table1[[#This Row],[Current Balance (QAR)]]/Table1[[#This Row],[Account Age (months)]]</calculatedColumnFormula>
    </tableColumn>
    <tableColumn id="27" xr3:uid="{8C5953E6-4717-4503-91B8-D0A90A9AF8B3}" name="Overdue to Credit Limit %  " dataCellStyle="Percent">
      <calculatedColumnFormula>Table1[[#This Row],[Current Balance (QAR)]]/Table1[[#This Row],[Credit Limit (QAR)]]</calculatedColumnFormula>
    </tableColumn>
    <tableColumn id="29" xr3:uid="{39774338-03C6-4790-9044-B084673076F5}" name="Payment Promise Breach Flag" dataDxfId="0">
      <calculatedColumnFormula>IF(Table1[[#This Row],[Broken Payment Promises]]&gt;0,"Yes","No")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7"/>
  <sheetViews>
    <sheetView tabSelected="1" topLeftCell="A48" zoomScale="80" zoomScaleNormal="80" workbookViewId="0">
      <selection activeCell="A49" sqref="A49"/>
    </sheetView>
  </sheetViews>
  <sheetFormatPr defaultRowHeight="14.5" x14ac:dyDescent="0.35"/>
  <cols>
    <col min="1" max="1" width="33.7265625" bestFit="1" customWidth="1"/>
    <col min="2" max="2" width="32.90625" bestFit="1" customWidth="1"/>
    <col min="3" max="3" width="20.1796875" bestFit="1" customWidth="1"/>
    <col min="4" max="4" width="28.1796875" bestFit="1" customWidth="1"/>
    <col min="5" max="5" width="27.453125" bestFit="1" customWidth="1"/>
    <col min="6" max="6" width="23.6328125" bestFit="1" customWidth="1"/>
    <col min="7" max="7" width="27.81640625" bestFit="1" customWidth="1"/>
    <col min="8" max="8" width="26.08984375" bestFit="1" customWidth="1"/>
    <col min="9" max="9" width="22.1796875" bestFit="1" customWidth="1"/>
    <col min="10" max="10" width="22.90625" bestFit="1" customWidth="1"/>
    <col min="11" max="11" width="27" bestFit="1" customWidth="1"/>
    <col min="12" max="12" width="18.6328125" bestFit="1" customWidth="1"/>
    <col min="13" max="13" width="22.36328125" bestFit="1" customWidth="1"/>
    <col min="14" max="14" width="28.54296875" bestFit="1" customWidth="1"/>
    <col min="15" max="15" width="9.81640625" bestFit="1" customWidth="1"/>
    <col min="16" max="16" width="22.81640625" bestFit="1" customWidth="1"/>
    <col min="17" max="17" width="9.81640625" bestFit="1" customWidth="1"/>
    <col min="18" max="18" width="15" bestFit="1" customWidth="1"/>
    <col min="19" max="19" width="24.26953125" bestFit="1" customWidth="1"/>
    <col min="20" max="20" width="20.36328125" bestFit="1" customWidth="1"/>
    <col min="21" max="21" width="14.1796875" bestFit="1" customWidth="1"/>
    <col min="22" max="22" width="11.6328125" bestFit="1" customWidth="1"/>
    <col min="23" max="23" width="14.1796875" style="5" bestFit="1" customWidth="1"/>
    <col min="24" max="24" width="27.7265625" style="7" bestFit="1" customWidth="1"/>
    <col min="25" max="25" width="14.1796875" style="7" bestFit="1" customWidth="1"/>
    <col min="26" max="26" width="11.6328125" style="9" bestFit="1" customWidth="1"/>
    <col min="27" max="27" width="14.1796875" bestFit="1" customWidth="1"/>
    <col min="28" max="28" width="11.6328125" bestFit="1" customWidth="1"/>
    <col min="29" max="29" width="14.1796875" bestFit="1" customWidth="1"/>
    <col min="30" max="30" width="11.6328125" bestFit="1" customWidth="1"/>
    <col min="31" max="31" width="14.1796875" bestFit="1" customWidth="1"/>
    <col min="32" max="32" width="11.6328125" bestFit="1" customWidth="1"/>
    <col min="33" max="33" width="14.1796875" bestFit="1" customWidth="1"/>
    <col min="34" max="34" width="11.6328125" bestFit="1" customWidth="1"/>
    <col min="35" max="35" width="14.1796875" bestFit="1" customWidth="1"/>
    <col min="36" max="36" width="11.6328125" bestFit="1" customWidth="1"/>
    <col min="37" max="37" width="14.1796875" bestFit="1" customWidth="1"/>
    <col min="38" max="38" width="11.6328125" bestFit="1" customWidth="1"/>
    <col min="39" max="39" width="14.1796875" bestFit="1" customWidth="1"/>
    <col min="40" max="40" width="10.7265625" bestFit="1" customWidth="1"/>
  </cols>
  <sheetData>
    <row r="1" spans="1:2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141</v>
      </c>
      <c r="W1" s="4" t="s">
        <v>140</v>
      </c>
      <c r="X1" s="6" t="s">
        <v>142</v>
      </c>
      <c r="Y1" s="6" t="s">
        <v>144</v>
      </c>
      <c r="Z1" s="8" t="s">
        <v>143</v>
      </c>
      <c r="AA1" s="2" t="s">
        <v>145</v>
      </c>
    </row>
    <row r="2" spans="1:27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31</v>
      </c>
      <c r="H2">
        <v>4928969.75</v>
      </c>
      <c r="I2">
        <v>2496347.19</v>
      </c>
      <c r="J2">
        <v>197.45</v>
      </c>
      <c r="K2">
        <v>764003.42</v>
      </c>
      <c r="L2">
        <v>152</v>
      </c>
      <c r="M2" t="s">
        <v>27</v>
      </c>
      <c r="N2">
        <v>0</v>
      </c>
      <c r="O2">
        <v>5</v>
      </c>
      <c r="P2" t="s">
        <v>28</v>
      </c>
      <c r="Q2">
        <v>85</v>
      </c>
      <c r="R2" t="s">
        <v>29</v>
      </c>
      <c r="S2" t="s">
        <v>30</v>
      </c>
      <c r="T2" t="s">
        <v>29</v>
      </c>
      <c r="U2" t="s">
        <v>31</v>
      </c>
      <c r="V2" s="3">
        <f t="shared" ref="V2:V23" ca="1" si="0">TODAY()</f>
        <v>45997</v>
      </c>
      <c r="W2" s="5">
        <f ca="1">Table1[[#This Row],[Todays Date]]-Table1[[#This Row],[Last Payment Date]]</f>
        <v>69</v>
      </c>
      <c r="X2" s="7">
        <f>Table1[[#This Row],[Credit Limit (QAR)]]-Table1[[#This Row],[Overdue Balance (QAR)]]</f>
        <v>1732343.77</v>
      </c>
      <c r="Y2" s="7">
        <f>Table1[[#This Row],[Current Balance (QAR)]]/Table1[[#This Row],[Account Age (months)]]</f>
        <v>158999.02419354839</v>
      </c>
      <c r="Z2" s="9">
        <f>Table1[[#This Row],[Current Balance (QAR)]]/Table1[[#This Row],[Credit Limit (QAR)]]</f>
        <v>1.9744728496679984</v>
      </c>
      <c r="AA2" t="str">
        <f>IF(Table1[[#This Row],[Broken Payment Promises]]&gt;0,"Yes","No")</f>
        <v>Yes</v>
      </c>
    </row>
    <row r="3" spans="1:27" x14ac:dyDescent="0.35">
      <c r="A3" t="s">
        <v>32</v>
      </c>
      <c r="B3" t="s">
        <v>33</v>
      </c>
      <c r="C3" t="s">
        <v>23</v>
      </c>
      <c r="D3" t="s">
        <v>34</v>
      </c>
      <c r="E3" t="s">
        <v>35</v>
      </c>
      <c r="F3" t="s">
        <v>36</v>
      </c>
      <c r="G3">
        <v>27</v>
      </c>
      <c r="H3">
        <v>2702084.69</v>
      </c>
      <c r="I3">
        <v>993868.72</v>
      </c>
      <c r="J3">
        <v>271.88</v>
      </c>
      <c r="K3">
        <v>327572.26</v>
      </c>
      <c r="L3">
        <v>99</v>
      </c>
      <c r="M3" t="s">
        <v>27</v>
      </c>
      <c r="N3">
        <v>0</v>
      </c>
      <c r="O3">
        <v>4</v>
      </c>
      <c r="P3" t="s">
        <v>37</v>
      </c>
      <c r="Q3">
        <v>80</v>
      </c>
      <c r="R3" t="s">
        <v>29</v>
      </c>
      <c r="S3" t="s">
        <v>30</v>
      </c>
      <c r="T3" t="s">
        <v>29</v>
      </c>
      <c r="U3" t="s">
        <v>31</v>
      </c>
      <c r="V3" s="3">
        <f t="shared" ca="1" si="0"/>
        <v>45997</v>
      </c>
      <c r="W3" s="5">
        <f ca="1">Table1[[#This Row],[Todays Date]]-Table1[[#This Row],[Last Payment Date]]</f>
        <v>58</v>
      </c>
      <c r="X3" s="7">
        <f>Table1[[#This Row],[Credit Limit (QAR)]]-Table1[[#This Row],[Overdue Balance (QAR)]]</f>
        <v>666296.46</v>
      </c>
      <c r="Y3" s="7">
        <f>Table1[[#This Row],[Current Balance (QAR)]]/Table1[[#This Row],[Account Age (months)]]</f>
        <v>100077.21074074075</v>
      </c>
      <c r="Z3" s="9">
        <f>Table1[[#This Row],[Current Balance (QAR)]]/Table1[[#This Row],[Credit Limit (QAR)]]</f>
        <v>2.7187541328395968</v>
      </c>
      <c r="AA3" t="str">
        <f>IF(Table1[[#This Row],[Broken Payment Promises]]&gt;0,"Yes","No")</f>
        <v>Yes</v>
      </c>
    </row>
    <row r="4" spans="1:27" x14ac:dyDescent="0.35">
      <c r="A4" t="s">
        <v>38</v>
      </c>
      <c r="B4" t="s">
        <v>39</v>
      </c>
      <c r="C4" t="s">
        <v>40</v>
      </c>
      <c r="D4" t="s">
        <v>34</v>
      </c>
      <c r="E4" t="s">
        <v>41</v>
      </c>
      <c r="F4" t="s">
        <v>42</v>
      </c>
      <c r="G4">
        <v>8</v>
      </c>
      <c r="H4">
        <v>4306705.01</v>
      </c>
      <c r="I4">
        <v>6835044.6299999999</v>
      </c>
      <c r="J4">
        <v>63.01</v>
      </c>
      <c r="K4">
        <v>23132.31</v>
      </c>
      <c r="L4">
        <v>118</v>
      </c>
      <c r="M4" t="s">
        <v>27</v>
      </c>
      <c r="N4">
        <v>2</v>
      </c>
      <c r="O4">
        <v>0</v>
      </c>
      <c r="P4" t="s">
        <v>43</v>
      </c>
      <c r="Q4">
        <v>70</v>
      </c>
      <c r="R4" t="s">
        <v>29</v>
      </c>
      <c r="S4" t="s">
        <v>30</v>
      </c>
      <c r="T4" t="s">
        <v>29</v>
      </c>
      <c r="U4" t="s">
        <v>31</v>
      </c>
      <c r="V4" s="3">
        <f t="shared" ca="1" si="0"/>
        <v>45997</v>
      </c>
      <c r="W4" s="5">
        <f ca="1">Table1[[#This Row],[Todays Date]]-Table1[[#This Row],[Last Payment Date]]</f>
        <v>89</v>
      </c>
      <c r="X4" s="7">
        <f>Table1[[#This Row],[Credit Limit (QAR)]]-Table1[[#This Row],[Overdue Balance (QAR)]]</f>
        <v>6811912.3200000003</v>
      </c>
      <c r="Y4" s="7">
        <f>Table1[[#This Row],[Current Balance (QAR)]]/Table1[[#This Row],[Account Age (months)]]</f>
        <v>538338.12624999997</v>
      </c>
      <c r="Z4" s="9">
        <f>Table1[[#This Row],[Current Balance (QAR)]]/Table1[[#This Row],[Credit Limit (QAR)]]</f>
        <v>0.63009171748451331</v>
      </c>
      <c r="AA4" t="str">
        <f>IF(Table1[[#This Row],[Broken Payment Promises]]&gt;0,"Yes","No")</f>
        <v>No</v>
      </c>
    </row>
    <row r="5" spans="1:27" x14ac:dyDescent="0.35">
      <c r="A5" t="s">
        <v>44</v>
      </c>
      <c r="B5" t="s">
        <v>45</v>
      </c>
      <c r="C5" t="s">
        <v>23</v>
      </c>
      <c r="D5" t="s">
        <v>34</v>
      </c>
      <c r="E5" t="s">
        <v>46</v>
      </c>
      <c r="F5" t="s">
        <v>47</v>
      </c>
      <c r="G5">
        <v>6</v>
      </c>
      <c r="H5">
        <v>127400.21</v>
      </c>
      <c r="I5">
        <v>4291674.66</v>
      </c>
      <c r="J5">
        <v>2.97</v>
      </c>
      <c r="K5">
        <v>44455.57</v>
      </c>
      <c r="L5">
        <v>92</v>
      </c>
      <c r="M5" t="s">
        <v>27</v>
      </c>
      <c r="N5">
        <v>1</v>
      </c>
      <c r="O5">
        <v>3</v>
      </c>
      <c r="P5" t="s">
        <v>48</v>
      </c>
      <c r="Q5">
        <v>65</v>
      </c>
      <c r="R5" t="s">
        <v>49</v>
      </c>
      <c r="S5" t="s">
        <v>50</v>
      </c>
      <c r="T5" t="s">
        <v>49</v>
      </c>
      <c r="U5" t="s">
        <v>31</v>
      </c>
      <c r="V5" s="3">
        <f t="shared" ca="1" si="0"/>
        <v>45997</v>
      </c>
      <c r="W5" s="5">
        <f ca="1">Table1[[#This Row],[Todays Date]]-Table1[[#This Row],[Last Payment Date]]</f>
        <v>32</v>
      </c>
      <c r="X5" s="7">
        <f>Table1[[#This Row],[Credit Limit (QAR)]]-Table1[[#This Row],[Overdue Balance (QAR)]]</f>
        <v>4247219.09</v>
      </c>
      <c r="Y5" s="7">
        <f>Table1[[#This Row],[Current Balance (QAR)]]/Table1[[#This Row],[Account Age (months)]]</f>
        <v>21233.368333333336</v>
      </c>
      <c r="Z5" s="9">
        <f>Table1[[#This Row],[Current Balance (QAR)]]/Table1[[#This Row],[Credit Limit (QAR)]]</f>
        <v>2.9685430535407828E-2</v>
      </c>
      <c r="AA5" t="str">
        <f>IF(Table1[[#This Row],[Broken Payment Promises]]&gt;0,"Yes","No")</f>
        <v>Yes</v>
      </c>
    </row>
    <row r="6" spans="1:27" x14ac:dyDescent="0.35">
      <c r="A6" t="s">
        <v>51</v>
      </c>
      <c r="B6" t="s">
        <v>52</v>
      </c>
      <c r="C6" t="s">
        <v>23</v>
      </c>
      <c r="D6" t="s">
        <v>24</v>
      </c>
      <c r="E6" t="s">
        <v>35</v>
      </c>
      <c r="F6" t="s">
        <v>53</v>
      </c>
      <c r="G6">
        <v>16</v>
      </c>
      <c r="H6">
        <v>1655507.85</v>
      </c>
      <c r="I6">
        <v>1308670.75</v>
      </c>
      <c r="J6">
        <v>126.5</v>
      </c>
      <c r="K6">
        <v>907760.16</v>
      </c>
      <c r="L6">
        <v>158</v>
      </c>
      <c r="M6" t="s">
        <v>27</v>
      </c>
      <c r="N6">
        <v>0</v>
      </c>
      <c r="O6">
        <v>0</v>
      </c>
      <c r="P6" t="s">
        <v>54</v>
      </c>
      <c r="Q6">
        <v>60</v>
      </c>
      <c r="R6" t="s">
        <v>49</v>
      </c>
      <c r="S6" t="s">
        <v>50</v>
      </c>
      <c r="T6" t="s">
        <v>49</v>
      </c>
      <c r="U6" t="s">
        <v>31</v>
      </c>
      <c r="V6" s="3">
        <f t="shared" ca="1" si="0"/>
        <v>45997</v>
      </c>
      <c r="W6" s="5">
        <f ca="1">Table1[[#This Row],[Todays Date]]-Table1[[#This Row],[Last Payment Date]]</f>
        <v>76</v>
      </c>
      <c r="X6" s="7">
        <f>Table1[[#This Row],[Credit Limit (QAR)]]-Table1[[#This Row],[Overdue Balance (QAR)]]</f>
        <v>400910.58999999997</v>
      </c>
      <c r="Y6" s="7">
        <f>Table1[[#This Row],[Current Balance (QAR)]]/Table1[[#This Row],[Account Age (months)]]</f>
        <v>103469.24062500001</v>
      </c>
      <c r="Z6" s="9">
        <f>Table1[[#This Row],[Current Balance (QAR)]]/Table1[[#This Row],[Credit Limit (QAR)]]</f>
        <v>1.2650300696336341</v>
      </c>
      <c r="AA6" t="str">
        <f>IF(Table1[[#This Row],[Broken Payment Promises]]&gt;0,"Yes","No")</f>
        <v>No</v>
      </c>
    </row>
    <row r="7" spans="1:27" x14ac:dyDescent="0.35">
      <c r="A7" t="s">
        <v>55</v>
      </c>
      <c r="B7" t="s">
        <v>56</v>
      </c>
      <c r="C7" t="s">
        <v>40</v>
      </c>
      <c r="D7" t="s">
        <v>57</v>
      </c>
      <c r="E7" t="s">
        <v>41</v>
      </c>
      <c r="F7" t="s">
        <v>42</v>
      </c>
      <c r="G7">
        <v>44</v>
      </c>
      <c r="H7">
        <v>3992887.78</v>
      </c>
      <c r="I7">
        <v>1916004.42</v>
      </c>
      <c r="J7">
        <v>208.4</v>
      </c>
      <c r="K7">
        <v>600881.66</v>
      </c>
      <c r="L7">
        <v>151</v>
      </c>
      <c r="M7" t="s">
        <v>27</v>
      </c>
      <c r="N7">
        <v>0</v>
      </c>
      <c r="O7">
        <v>0</v>
      </c>
      <c r="P7" t="s">
        <v>58</v>
      </c>
      <c r="Q7">
        <v>60</v>
      </c>
      <c r="R7" t="s">
        <v>49</v>
      </c>
      <c r="S7" t="s">
        <v>50</v>
      </c>
      <c r="T7" t="s">
        <v>49</v>
      </c>
      <c r="U7" t="s">
        <v>31</v>
      </c>
      <c r="V7" s="3">
        <f t="shared" ca="1" si="0"/>
        <v>45997</v>
      </c>
      <c r="W7" s="5">
        <f ca="1">Table1[[#This Row],[Todays Date]]-Table1[[#This Row],[Last Payment Date]]</f>
        <v>87</v>
      </c>
      <c r="X7" s="7">
        <f>Table1[[#This Row],[Credit Limit (QAR)]]-Table1[[#This Row],[Overdue Balance (QAR)]]</f>
        <v>1315122.7599999998</v>
      </c>
      <c r="Y7" s="7">
        <f>Table1[[#This Row],[Current Balance (QAR)]]/Table1[[#This Row],[Account Age (months)]]</f>
        <v>90747.449545454539</v>
      </c>
      <c r="Z7" s="9">
        <f>Table1[[#This Row],[Current Balance (QAR)]]/Table1[[#This Row],[Credit Limit (QAR)]]</f>
        <v>2.0839658501414102</v>
      </c>
      <c r="AA7" t="str">
        <f>IF(Table1[[#This Row],[Broken Payment Promises]]&gt;0,"Yes","No")</f>
        <v>No</v>
      </c>
    </row>
    <row r="8" spans="1:27" x14ac:dyDescent="0.35">
      <c r="A8" t="s">
        <v>59</v>
      </c>
      <c r="B8" t="s">
        <v>60</v>
      </c>
      <c r="C8" t="s">
        <v>40</v>
      </c>
      <c r="D8" t="s">
        <v>24</v>
      </c>
      <c r="E8" t="s">
        <v>25</v>
      </c>
      <c r="F8" t="s">
        <v>61</v>
      </c>
      <c r="G8">
        <v>58</v>
      </c>
      <c r="H8">
        <v>3025519.31</v>
      </c>
      <c r="I8">
        <v>7109918.5199999996</v>
      </c>
      <c r="J8">
        <v>42.55</v>
      </c>
      <c r="K8">
        <v>0</v>
      </c>
      <c r="L8">
        <v>0</v>
      </c>
      <c r="M8" t="s">
        <v>62</v>
      </c>
      <c r="N8">
        <v>4</v>
      </c>
      <c r="O8">
        <v>2</v>
      </c>
      <c r="P8" t="s">
        <v>63</v>
      </c>
      <c r="Q8">
        <v>50</v>
      </c>
      <c r="R8" t="s">
        <v>49</v>
      </c>
      <c r="S8" t="s">
        <v>50</v>
      </c>
      <c r="T8" t="s">
        <v>49</v>
      </c>
      <c r="U8" t="s">
        <v>31</v>
      </c>
      <c r="V8" s="3">
        <f t="shared" ca="1" si="0"/>
        <v>45997</v>
      </c>
      <c r="W8" s="5">
        <f ca="1">Table1[[#This Row],[Todays Date]]-Table1[[#This Row],[Last Payment Date]]</f>
        <v>63</v>
      </c>
      <c r="X8" s="7">
        <f>Table1[[#This Row],[Credit Limit (QAR)]]-Table1[[#This Row],[Overdue Balance (QAR)]]</f>
        <v>7109918.5199999996</v>
      </c>
      <c r="Y8" s="7">
        <f>Table1[[#This Row],[Current Balance (QAR)]]/Table1[[#This Row],[Account Age (months)]]</f>
        <v>52164.126034482761</v>
      </c>
      <c r="Z8" s="9">
        <f>Table1[[#This Row],[Current Balance (QAR)]]/Table1[[#This Row],[Credit Limit (QAR)]]</f>
        <v>0.42553501864884946</v>
      </c>
      <c r="AA8" t="str">
        <f>IF(Table1[[#This Row],[Broken Payment Promises]]&gt;0,"Yes","No")</f>
        <v>Yes</v>
      </c>
    </row>
    <row r="9" spans="1:27" x14ac:dyDescent="0.35">
      <c r="A9" t="s">
        <v>64</v>
      </c>
      <c r="B9" t="s">
        <v>65</v>
      </c>
      <c r="C9" t="s">
        <v>23</v>
      </c>
      <c r="D9" t="s">
        <v>66</v>
      </c>
      <c r="E9" t="s">
        <v>67</v>
      </c>
      <c r="F9" t="s">
        <v>68</v>
      </c>
      <c r="G9">
        <v>46</v>
      </c>
      <c r="H9">
        <v>1558667.23</v>
      </c>
      <c r="I9">
        <v>1730092.95</v>
      </c>
      <c r="J9">
        <v>90.09</v>
      </c>
      <c r="K9">
        <v>489981.67</v>
      </c>
      <c r="L9">
        <v>80</v>
      </c>
      <c r="M9" t="s">
        <v>69</v>
      </c>
      <c r="N9">
        <v>0</v>
      </c>
      <c r="O9">
        <v>0</v>
      </c>
      <c r="P9" t="s">
        <v>37</v>
      </c>
      <c r="Q9">
        <v>45</v>
      </c>
      <c r="R9" t="s">
        <v>70</v>
      </c>
      <c r="S9" t="s">
        <v>71</v>
      </c>
      <c r="T9" t="s">
        <v>70</v>
      </c>
      <c r="U9" t="s">
        <v>31</v>
      </c>
      <c r="V9" s="3">
        <f t="shared" ca="1" si="0"/>
        <v>45997</v>
      </c>
      <c r="W9" s="5">
        <f ca="1">Table1[[#This Row],[Todays Date]]-Table1[[#This Row],[Last Payment Date]]</f>
        <v>58</v>
      </c>
      <c r="X9" s="7">
        <f>Table1[[#This Row],[Credit Limit (QAR)]]-Table1[[#This Row],[Overdue Balance (QAR)]]</f>
        <v>1240111.28</v>
      </c>
      <c r="Y9" s="7">
        <f>Table1[[#This Row],[Current Balance (QAR)]]/Table1[[#This Row],[Account Age (months)]]</f>
        <v>33884.070217391301</v>
      </c>
      <c r="Z9" s="9">
        <f>Table1[[#This Row],[Current Balance (QAR)]]/Table1[[#This Row],[Credit Limit (QAR)]]</f>
        <v>0.90091531209349185</v>
      </c>
      <c r="AA9" t="str">
        <f>IF(Table1[[#This Row],[Broken Payment Promises]]&gt;0,"Yes","No")</f>
        <v>No</v>
      </c>
    </row>
    <row r="10" spans="1:27" x14ac:dyDescent="0.35">
      <c r="A10" t="s">
        <v>72</v>
      </c>
      <c r="B10" t="s">
        <v>73</v>
      </c>
      <c r="C10" t="s">
        <v>23</v>
      </c>
      <c r="D10" t="s">
        <v>57</v>
      </c>
      <c r="E10" t="s">
        <v>35</v>
      </c>
      <c r="F10" t="s">
        <v>74</v>
      </c>
      <c r="G10">
        <v>59</v>
      </c>
      <c r="H10">
        <v>1132882.8899999999</v>
      </c>
      <c r="I10">
        <v>5625209.8200000003</v>
      </c>
      <c r="J10">
        <v>20.14</v>
      </c>
      <c r="K10">
        <v>74243.320000000007</v>
      </c>
      <c r="L10">
        <v>81</v>
      </c>
      <c r="M10" t="s">
        <v>69</v>
      </c>
      <c r="N10">
        <v>0</v>
      </c>
      <c r="O10">
        <v>3</v>
      </c>
      <c r="P10" t="s">
        <v>75</v>
      </c>
      <c r="Q10">
        <v>40</v>
      </c>
      <c r="R10" t="s">
        <v>70</v>
      </c>
      <c r="S10" t="s">
        <v>71</v>
      </c>
      <c r="T10" t="s">
        <v>70</v>
      </c>
      <c r="U10" t="s">
        <v>31</v>
      </c>
      <c r="V10" s="3">
        <f t="shared" ca="1" si="0"/>
        <v>45997</v>
      </c>
      <c r="W10" s="5">
        <f ca="1">Table1[[#This Row],[Todays Date]]-Table1[[#This Row],[Last Payment Date]]</f>
        <v>55</v>
      </c>
      <c r="X10" s="7">
        <f>Table1[[#This Row],[Credit Limit (QAR)]]-Table1[[#This Row],[Overdue Balance (QAR)]]</f>
        <v>5550966.5</v>
      </c>
      <c r="Y10" s="7">
        <f>Table1[[#This Row],[Current Balance (QAR)]]/Table1[[#This Row],[Account Age (months)]]</f>
        <v>19201.404915254236</v>
      </c>
      <c r="Z10" s="9">
        <f>Table1[[#This Row],[Current Balance (QAR)]]/Table1[[#This Row],[Credit Limit (QAR)]]</f>
        <v>0.20139389040602931</v>
      </c>
      <c r="AA10" t="str">
        <f>IF(Table1[[#This Row],[Broken Payment Promises]]&gt;0,"Yes","No")</f>
        <v>Yes</v>
      </c>
    </row>
    <row r="11" spans="1:27" x14ac:dyDescent="0.35">
      <c r="A11" t="s">
        <v>76</v>
      </c>
      <c r="B11" t="s">
        <v>77</v>
      </c>
      <c r="C11" t="s">
        <v>23</v>
      </c>
      <c r="D11" t="s">
        <v>66</v>
      </c>
      <c r="E11" t="s">
        <v>67</v>
      </c>
      <c r="F11" t="s">
        <v>78</v>
      </c>
      <c r="G11">
        <v>45</v>
      </c>
      <c r="H11">
        <v>4230442.55</v>
      </c>
      <c r="I11">
        <v>7498469.0899999999</v>
      </c>
      <c r="J11">
        <v>56.42</v>
      </c>
      <c r="K11">
        <v>590883.65</v>
      </c>
      <c r="L11">
        <v>153</v>
      </c>
      <c r="M11" t="s">
        <v>27</v>
      </c>
      <c r="N11">
        <v>0</v>
      </c>
      <c r="O11">
        <v>0</v>
      </c>
      <c r="P11" t="s">
        <v>79</v>
      </c>
      <c r="Q11">
        <v>40</v>
      </c>
      <c r="R11" t="s">
        <v>70</v>
      </c>
      <c r="S11" t="s">
        <v>71</v>
      </c>
      <c r="T11" t="s">
        <v>70</v>
      </c>
      <c r="U11" t="s">
        <v>31</v>
      </c>
      <c r="V11" s="3">
        <f t="shared" ca="1" si="0"/>
        <v>45997</v>
      </c>
      <c r="W11" s="5">
        <f ca="1">Table1[[#This Row],[Todays Date]]-Table1[[#This Row],[Last Payment Date]]</f>
        <v>44</v>
      </c>
      <c r="X11" s="7">
        <f>Table1[[#This Row],[Credit Limit (QAR)]]-Table1[[#This Row],[Overdue Balance (QAR)]]</f>
        <v>6907585.4399999995</v>
      </c>
      <c r="Y11" s="7">
        <f>Table1[[#This Row],[Current Balance (QAR)]]/Table1[[#This Row],[Account Age (months)]]</f>
        <v>94009.834444444437</v>
      </c>
      <c r="Z11" s="9">
        <f>Table1[[#This Row],[Current Balance (QAR)]]/Table1[[#This Row],[Credit Limit (QAR)]]</f>
        <v>0.56417416664979547</v>
      </c>
      <c r="AA11" t="str">
        <f>IF(Table1[[#This Row],[Broken Payment Promises]]&gt;0,"Yes","No")</f>
        <v>No</v>
      </c>
    </row>
    <row r="12" spans="1:27" x14ac:dyDescent="0.35">
      <c r="A12" t="s">
        <v>80</v>
      </c>
      <c r="B12" t="s">
        <v>81</v>
      </c>
      <c r="C12" t="s">
        <v>23</v>
      </c>
      <c r="D12" t="s">
        <v>82</v>
      </c>
      <c r="E12" t="s">
        <v>25</v>
      </c>
      <c r="F12" t="s">
        <v>83</v>
      </c>
      <c r="G12">
        <v>22</v>
      </c>
      <c r="H12">
        <v>1370566.02</v>
      </c>
      <c r="I12">
        <v>9768488.0600000005</v>
      </c>
      <c r="J12">
        <v>14.03</v>
      </c>
      <c r="K12">
        <v>42720.23</v>
      </c>
      <c r="L12">
        <v>158</v>
      </c>
      <c r="M12" t="s">
        <v>27</v>
      </c>
      <c r="N12">
        <v>0</v>
      </c>
      <c r="O12">
        <v>0</v>
      </c>
      <c r="P12" t="s">
        <v>84</v>
      </c>
      <c r="Q12">
        <v>40</v>
      </c>
      <c r="R12" t="s">
        <v>70</v>
      </c>
      <c r="S12" t="s">
        <v>71</v>
      </c>
      <c r="T12" t="s">
        <v>70</v>
      </c>
      <c r="U12" t="s">
        <v>31</v>
      </c>
      <c r="V12" s="3">
        <f t="shared" ca="1" si="0"/>
        <v>45997</v>
      </c>
      <c r="W12" s="5">
        <f ca="1">Table1[[#This Row],[Todays Date]]-Table1[[#This Row],[Last Payment Date]]</f>
        <v>43</v>
      </c>
      <c r="X12" s="7">
        <f>Table1[[#This Row],[Credit Limit (QAR)]]-Table1[[#This Row],[Overdue Balance (QAR)]]</f>
        <v>9725767.8300000001</v>
      </c>
      <c r="Y12" s="7">
        <f>Table1[[#This Row],[Current Balance (QAR)]]/Table1[[#This Row],[Account Age (months)]]</f>
        <v>62298.455454545452</v>
      </c>
      <c r="Z12" s="9">
        <f>Table1[[#This Row],[Current Balance (QAR)]]/Table1[[#This Row],[Credit Limit (QAR)]]</f>
        <v>0.14030482625168914</v>
      </c>
      <c r="AA12" t="str">
        <f>IF(Table1[[#This Row],[Broken Payment Promises]]&gt;0,"Yes","No")</f>
        <v>No</v>
      </c>
    </row>
    <row r="13" spans="1:27" x14ac:dyDescent="0.35">
      <c r="A13" t="s">
        <v>85</v>
      </c>
      <c r="B13" t="s">
        <v>86</v>
      </c>
      <c r="C13" t="s">
        <v>40</v>
      </c>
      <c r="D13" t="s">
        <v>34</v>
      </c>
      <c r="E13" t="s">
        <v>25</v>
      </c>
      <c r="F13" t="s">
        <v>87</v>
      </c>
      <c r="G13">
        <v>58</v>
      </c>
      <c r="H13">
        <v>1192924.44</v>
      </c>
      <c r="I13">
        <v>2486152.11</v>
      </c>
      <c r="J13">
        <v>47.98</v>
      </c>
      <c r="K13">
        <v>613896.68999999994</v>
      </c>
      <c r="L13">
        <v>37</v>
      </c>
      <c r="M13" t="s">
        <v>88</v>
      </c>
      <c r="N13">
        <v>0</v>
      </c>
      <c r="O13">
        <v>4</v>
      </c>
      <c r="P13" t="s">
        <v>89</v>
      </c>
      <c r="Q13">
        <v>35</v>
      </c>
      <c r="R13" t="s">
        <v>70</v>
      </c>
      <c r="S13" t="s">
        <v>71</v>
      </c>
      <c r="T13" t="s">
        <v>70</v>
      </c>
      <c r="U13" t="s">
        <v>31</v>
      </c>
      <c r="V13" s="3">
        <f t="shared" ca="1" si="0"/>
        <v>45997</v>
      </c>
      <c r="W13" s="5">
        <f ca="1">Table1[[#This Row],[Todays Date]]-Table1[[#This Row],[Last Payment Date]]</f>
        <v>49</v>
      </c>
      <c r="X13" s="7">
        <f>Table1[[#This Row],[Credit Limit (QAR)]]-Table1[[#This Row],[Overdue Balance (QAR)]]</f>
        <v>1872255.42</v>
      </c>
      <c r="Y13" s="7">
        <f>Table1[[#This Row],[Current Balance (QAR)]]/Table1[[#This Row],[Account Age (months)]]</f>
        <v>20567.662758620689</v>
      </c>
      <c r="Z13" s="9">
        <f>Table1[[#This Row],[Current Balance (QAR)]]/Table1[[#This Row],[Credit Limit (QAR)]]</f>
        <v>0.47982761601823309</v>
      </c>
      <c r="AA13" t="str">
        <f>IF(Table1[[#This Row],[Broken Payment Promises]]&gt;0,"Yes","No")</f>
        <v>Yes</v>
      </c>
    </row>
    <row r="14" spans="1:27" x14ac:dyDescent="0.35">
      <c r="A14" t="s">
        <v>90</v>
      </c>
      <c r="B14" t="s">
        <v>91</v>
      </c>
      <c r="C14" t="s">
        <v>23</v>
      </c>
      <c r="D14" t="s">
        <v>34</v>
      </c>
      <c r="E14" t="s">
        <v>25</v>
      </c>
      <c r="F14" t="s">
        <v>92</v>
      </c>
      <c r="G14">
        <v>10</v>
      </c>
      <c r="H14">
        <v>4635189.3499999996</v>
      </c>
      <c r="I14">
        <v>6545662.5499999998</v>
      </c>
      <c r="J14">
        <v>70.81</v>
      </c>
      <c r="K14">
        <v>851538.19</v>
      </c>
      <c r="L14">
        <v>41</v>
      </c>
      <c r="M14" t="s">
        <v>88</v>
      </c>
      <c r="N14">
        <v>0</v>
      </c>
      <c r="O14">
        <v>0</v>
      </c>
      <c r="P14" t="s">
        <v>93</v>
      </c>
      <c r="Q14">
        <v>25</v>
      </c>
      <c r="R14" t="s">
        <v>94</v>
      </c>
      <c r="S14" t="s">
        <v>95</v>
      </c>
      <c r="T14" t="s">
        <v>94</v>
      </c>
      <c r="U14" t="s">
        <v>31</v>
      </c>
      <c r="V14" s="3">
        <f t="shared" ca="1" si="0"/>
        <v>45997</v>
      </c>
      <c r="W14" s="5">
        <f ca="1">Table1[[#This Row],[Todays Date]]-Table1[[#This Row],[Last Payment Date]]</f>
        <v>22</v>
      </c>
      <c r="X14" s="7">
        <f>Table1[[#This Row],[Credit Limit (QAR)]]-Table1[[#This Row],[Overdue Balance (QAR)]]</f>
        <v>5694124.3599999994</v>
      </c>
      <c r="Y14" s="7">
        <f>Table1[[#This Row],[Current Balance (QAR)]]/Table1[[#This Row],[Account Age (months)]]</f>
        <v>463518.93499999994</v>
      </c>
      <c r="Z14" s="9">
        <f>Table1[[#This Row],[Current Balance (QAR)]]/Table1[[#This Row],[Credit Limit (QAR)]]</f>
        <v>0.7081314251373988</v>
      </c>
      <c r="AA14" t="str">
        <f>IF(Table1[[#This Row],[Broken Payment Promises]]&gt;0,"Yes","No")</f>
        <v>No</v>
      </c>
    </row>
    <row r="15" spans="1:27" x14ac:dyDescent="0.35">
      <c r="A15" t="s">
        <v>96</v>
      </c>
      <c r="B15" t="s">
        <v>97</v>
      </c>
      <c r="C15" t="s">
        <v>40</v>
      </c>
      <c r="D15" t="s">
        <v>57</v>
      </c>
      <c r="E15" t="s">
        <v>67</v>
      </c>
      <c r="F15" t="s">
        <v>68</v>
      </c>
      <c r="G15">
        <v>33</v>
      </c>
      <c r="H15">
        <v>4870089.82</v>
      </c>
      <c r="I15">
        <v>2404436.27</v>
      </c>
      <c r="J15">
        <v>202.55</v>
      </c>
      <c r="K15">
        <v>0</v>
      </c>
      <c r="L15">
        <v>0</v>
      </c>
      <c r="M15" t="s">
        <v>62</v>
      </c>
      <c r="N15">
        <v>0</v>
      </c>
      <c r="O15">
        <v>0</v>
      </c>
      <c r="P15" t="s">
        <v>63</v>
      </c>
      <c r="Q15">
        <v>20</v>
      </c>
      <c r="R15" t="s">
        <v>94</v>
      </c>
      <c r="S15" t="s">
        <v>95</v>
      </c>
      <c r="T15" t="s">
        <v>94</v>
      </c>
      <c r="U15" t="s">
        <v>31</v>
      </c>
      <c r="V15" s="3">
        <f t="shared" ca="1" si="0"/>
        <v>45997</v>
      </c>
      <c r="W15" s="5">
        <f ca="1">Table1[[#This Row],[Todays Date]]-Table1[[#This Row],[Last Payment Date]]</f>
        <v>63</v>
      </c>
      <c r="X15" s="7">
        <f>Table1[[#This Row],[Credit Limit (QAR)]]-Table1[[#This Row],[Overdue Balance (QAR)]]</f>
        <v>2404436.27</v>
      </c>
      <c r="Y15" s="7">
        <f>Table1[[#This Row],[Current Balance (QAR)]]/Table1[[#This Row],[Account Age (months)]]</f>
        <v>147578.4793939394</v>
      </c>
      <c r="Z15" s="9">
        <f>Table1[[#This Row],[Current Balance (QAR)]]/Table1[[#This Row],[Credit Limit (QAR)]]</f>
        <v>2.0254601383134188</v>
      </c>
      <c r="AA15" t="str">
        <f>IF(Table1[[#This Row],[Broken Payment Promises]]&gt;0,"Yes","No")</f>
        <v>No</v>
      </c>
    </row>
    <row r="16" spans="1:27" x14ac:dyDescent="0.35">
      <c r="A16" t="s">
        <v>98</v>
      </c>
      <c r="B16" t="s">
        <v>99</v>
      </c>
      <c r="C16" t="s">
        <v>40</v>
      </c>
      <c r="D16" t="s">
        <v>57</v>
      </c>
      <c r="E16" t="s">
        <v>100</v>
      </c>
      <c r="F16" t="s">
        <v>101</v>
      </c>
      <c r="G16">
        <v>45</v>
      </c>
      <c r="H16">
        <v>3789038.98</v>
      </c>
      <c r="I16">
        <v>4309043.16</v>
      </c>
      <c r="J16">
        <v>87.93</v>
      </c>
      <c r="K16">
        <v>0</v>
      </c>
      <c r="L16">
        <v>0</v>
      </c>
      <c r="M16" t="s">
        <v>62</v>
      </c>
      <c r="N16">
        <v>0</v>
      </c>
      <c r="O16">
        <v>0</v>
      </c>
      <c r="P16" t="s">
        <v>102</v>
      </c>
      <c r="Q16">
        <v>20</v>
      </c>
      <c r="R16" t="s">
        <v>94</v>
      </c>
      <c r="S16" t="s">
        <v>95</v>
      </c>
      <c r="T16" t="s">
        <v>94</v>
      </c>
      <c r="U16" t="s">
        <v>31</v>
      </c>
      <c r="V16" s="3">
        <f t="shared" ca="1" si="0"/>
        <v>45997</v>
      </c>
      <c r="W16" s="5">
        <f ca="1">Table1[[#This Row],[Todays Date]]-Table1[[#This Row],[Last Payment Date]]</f>
        <v>17</v>
      </c>
      <c r="X16" s="7">
        <f>Table1[[#This Row],[Credit Limit (QAR)]]-Table1[[#This Row],[Overdue Balance (QAR)]]</f>
        <v>4309043.16</v>
      </c>
      <c r="Y16" s="7">
        <f>Table1[[#This Row],[Current Balance (QAR)]]/Table1[[#This Row],[Account Age (months)]]</f>
        <v>84200.866222222219</v>
      </c>
      <c r="Z16" s="9">
        <f>Table1[[#This Row],[Current Balance (QAR)]]/Table1[[#This Row],[Credit Limit (QAR)]]</f>
        <v>0.87932258724463552</v>
      </c>
      <c r="AA16" t="str">
        <f>IF(Table1[[#This Row],[Broken Payment Promises]]&gt;0,"Yes","No")</f>
        <v>No</v>
      </c>
    </row>
    <row r="17" spans="1:27" x14ac:dyDescent="0.35">
      <c r="A17" t="s">
        <v>103</v>
      </c>
      <c r="B17" t="s">
        <v>104</v>
      </c>
      <c r="C17" t="s">
        <v>23</v>
      </c>
      <c r="D17" t="s">
        <v>82</v>
      </c>
      <c r="E17" t="s">
        <v>67</v>
      </c>
      <c r="F17" t="s">
        <v>105</v>
      </c>
      <c r="G17">
        <v>33</v>
      </c>
      <c r="H17">
        <v>4652003.38</v>
      </c>
      <c r="I17">
        <v>8100391.7599999998</v>
      </c>
      <c r="J17">
        <v>57.43</v>
      </c>
      <c r="K17">
        <v>872745.98</v>
      </c>
      <c r="L17">
        <v>57</v>
      </c>
      <c r="M17" t="s">
        <v>88</v>
      </c>
      <c r="N17">
        <v>0</v>
      </c>
      <c r="O17">
        <v>0</v>
      </c>
      <c r="P17" t="s">
        <v>106</v>
      </c>
      <c r="Q17">
        <v>15</v>
      </c>
      <c r="R17" t="s">
        <v>94</v>
      </c>
      <c r="S17" t="s">
        <v>95</v>
      </c>
      <c r="T17" t="s">
        <v>94</v>
      </c>
      <c r="U17" t="s">
        <v>31</v>
      </c>
      <c r="V17" s="3">
        <f t="shared" ca="1" si="0"/>
        <v>45997</v>
      </c>
      <c r="W17" s="5">
        <f ca="1">Table1[[#This Row],[Todays Date]]-Table1[[#This Row],[Last Payment Date]]</f>
        <v>61</v>
      </c>
      <c r="X17" s="7">
        <f>Table1[[#This Row],[Credit Limit (QAR)]]-Table1[[#This Row],[Overdue Balance (QAR)]]</f>
        <v>7227645.7799999993</v>
      </c>
      <c r="Y17" s="7">
        <f>Table1[[#This Row],[Current Balance (QAR)]]/Table1[[#This Row],[Account Age (months)]]</f>
        <v>140969.79939393938</v>
      </c>
      <c r="Z17" s="9">
        <f>Table1[[#This Row],[Current Balance (QAR)]]/Table1[[#This Row],[Credit Limit (QAR)]]</f>
        <v>0.57429362897875447</v>
      </c>
      <c r="AA17" t="str">
        <f>IF(Table1[[#This Row],[Broken Payment Promises]]&gt;0,"Yes","No")</f>
        <v>No</v>
      </c>
    </row>
    <row r="18" spans="1:27" x14ac:dyDescent="0.35">
      <c r="A18" t="s">
        <v>107</v>
      </c>
      <c r="B18" t="s">
        <v>108</v>
      </c>
      <c r="C18" t="s">
        <v>23</v>
      </c>
      <c r="D18" t="s">
        <v>57</v>
      </c>
      <c r="E18" t="s">
        <v>35</v>
      </c>
      <c r="F18" t="s">
        <v>109</v>
      </c>
      <c r="G18">
        <v>35</v>
      </c>
      <c r="H18">
        <v>739690.7</v>
      </c>
      <c r="I18">
        <v>6083732.0499999998</v>
      </c>
      <c r="J18">
        <v>12.16</v>
      </c>
      <c r="K18">
        <v>158171.89000000001</v>
      </c>
      <c r="L18">
        <v>42</v>
      </c>
      <c r="M18" t="s">
        <v>88</v>
      </c>
      <c r="N18">
        <v>0</v>
      </c>
      <c r="O18">
        <v>0</v>
      </c>
      <c r="P18" t="s">
        <v>110</v>
      </c>
      <c r="Q18">
        <v>15</v>
      </c>
      <c r="R18" t="s">
        <v>94</v>
      </c>
      <c r="S18" t="s">
        <v>95</v>
      </c>
      <c r="T18" t="s">
        <v>94</v>
      </c>
      <c r="U18" t="s">
        <v>31</v>
      </c>
      <c r="V18" s="3">
        <f t="shared" ca="1" si="0"/>
        <v>45997</v>
      </c>
      <c r="W18" s="5">
        <f ca="1">Table1[[#This Row],[Todays Date]]-Table1[[#This Row],[Last Payment Date]]</f>
        <v>85</v>
      </c>
      <c r="X18" s="7">
        <f>Table1[[#This Row],[Credit Limit (QAR)]]-Table1[[#This Row],[Overdue Balance (QAR)]]</f>
        <v>5925560.1600000001</v>
      </c>
      <c r="Y18" s="7">
        <f>Table1[[#This Row],[Current Balance (QAR)]]/Table1[[#This Row],[Account Age (months)]]</f>
        <v>21134.02</v>
      </c>
      <c r="Z18" s="9">
        <f>Table1[[#This Row],[Current Balance (QAR)]]/Table1[[#This Row],[Credit Limit (QAR)]]</f>
        <v>0.12158502279862901</v>
      </c>
      <c r="AA18" t="str">
        <f>IF(Table1[[#This Row],[Broken Payment Promises]]&gt;0,"Yes","No")</f>
        <v>No</v>
      </c>
    </row>
    <row r="19" spans="1:27" x14ac:dyDescent="0.35">
      <c r="A19" t="s">
        <v>111</v>
      </c>
      <c r="B19" t="s">
        <v>112</v>
      </c>
      <c r="C19" t="s">
        <v>23</v>
      </c>
      <c r="D19" t="s">
        <v>57</v>
      </c>
      <c r="E19" t="s">
        <v>25</v>
      </c>
      <c r="F19" t="s">
        <v>87</v>
      </c>
      <c r="G19">
        <v>31</v>
      </c>
      <c r="H19">
        <v>2276282.96</v>
      </c>
      <c r="I19">
        <v>4011987.34</v>
      </c>
      <c r="J19">
        <v>56.74</v>
      </c>
      <c r="K19">
        <v>729999.28</v>
      </c>
      <c r="L19">
        <v>44</v>
      </c>
      <c r="M19" t="s">
        <v>88</v>
      </c>
      <c r="N19">
        <v>0</v>
      </c>
      <c r="O19">
        <v>0</v>
      </c>
      <c r="P19" t="s">
        <v>106</v>
      </c>
      <c r="Q19">
        <v>15</v>
      </c>
      <c r="R19" t="s">
        <v>94</v>
      </c>
      <c r="S19" t="s">
        <v>95</v>
      </c>
      <c r="T19" t="s">
        <v>94</v>
      </c>
      <c r="U19" t="s">
        <v>31</v>
      </c>
      <c r="V19" s="3">
        <f t="shared" ca="1" si="0"/>
        <v>45997</v>
      </c>
      <c r="W19" s="5">
        <f ca="1">Table1[[#This Row],[Todays Date]]-Table1[[#This Row],[Last Payment Date]]</f>
        <v>61</v>
      </c>
      <c r="X19" s="7">
        <f>Table1[[#This Row],[Credit Limit (QAR)]]-Table1[[#This Row],[Overdue Balance (QAR)]]</f>
        <v>3281988.0599999996</v>
      </c>
      <c r="Y19" s="7">
        <f>Table1[[#This Row],[Current Balance (QAR)]]/Table1[[#This Row],[Account Age (months)]]</f>
        <v>73428.482580645155</v>
      </c>
      <c r="Z19" s="9">
        <f>Table1[[#This Row],[Current Balance (QAR)]]/Table1[[#This Row],[Credit Limit (QAR)]]</f>
        <v>0.5673704244540313</v>
      </c>
      <c r="AA19" t="str">
        <f>IF(Table1[[#This Row],[Broken Payment Promises]]&gt;0,"Yes","No")</f>
        <v>No</v>
      </c>
    </row>
    <row r="20" spans="1:27" x14ac:dyDescent="0.35">
      <c r="A20" t="s">
        <v>113</v>
      </c>
      <c r="B20" t="s">
        <v>114</v>
      </c>
      <c r="C20" t="s">
        <v>23</v>
      </c>
      <c r="D20" t="s">
        <v>34</v>
      </c>
      <c r="E20" t="s">
        <v>100</v>
      </c>
      <c r="F20" t="s">
        <v>115</v>
      </c>
      <c r="G20">
        <v>20</v>
      </c>
      <c r="H20">
        <v>598909.56000000006</v>
      </c>
      <c r="I20">
        <v>4449431.37</v>
      </c>
      <c r="J20">
        <v>13.46</v>
      </c>
      <c r="K20">
        <v>0</v>
      </c>
      <c r="L20">
        <v>0</v>
      </c>
      <c r="M20" t="s">
        <v>62</v>
      </c>
      <c r="N20">
        <v>1</v>
      </c>
      <c r="O20">
        <v>0</v>
      </c>
      <c r="P20" t="s">
        <v>116</v>
      </c>
      <c r="Q20">
        <v>10</v>
      </c>
      <c r="R20" t="s">
        <v>117</v>
      </c>
      <c r="S20" t="s">
        <v>118</v>
      </c>
      <c r="T20" t="s">
        <v>117</v>
      </c>
      <c r="U20" t="s">
        <v>31</v>
      </c>
      <c r="V20" s="3">
        <f t="shared" ca="1" si="0"/>
        <v>45997</v>
      </c>
      <c r="W20" s="5">
        <f ca="1">Table1[[#This Row],[Todays Date]]-Table1[[#This Row],[Last Payment Date]]</f>
        <v>3</v>
      </c>
      <c r="X20" s="7">
        <f>Table1[[#This Row],[Credit Limit (QAR)]]-Table1[[#This Row],[Overdue Balance (QAR)]]</f>
        <v>4449431.37</v>
      </c>
      <c r="Y20" s="7">
        <f>Table1[[#This Row],[Current Balance (QAR)]]/Table1[[#This Row],[Account Age (months)]]</f>
        <v>29945.478000000003</v>
      </c>
      <c r="Z20" s="9">
        <f>Table1[[#This Row],[Current Balance (QAR)]]/Table1[[#This Row],[Credit Limit (QAR)]]</f>
        <v>0.1346036179000554</v>
      </c>
      <c r="AA20" t="str">
        <f>IF(Table1[[#This Row],[Broken Payment Promises]]&gt;0,"Yes","No")</f>
        <v>No</v>
      </c>
    </row>
    <row r="21" spans="1:27" x14ac:dyDescent="0.35">
      <c r="A21" t="s">
        <v>119</v>
      </c>
      <c r="B21" t="s">
        <v>120</v>
      </c>
      <c r="C21" t="s">
        <v>40</v>
      </c>
      <c r="D21" t="s">
        <v>66</v>
      </c>
      <c r="E21" t="s">
        <v>67</v>
      </c>
      <c r="F21" t="s">
        <v>68</v>
      </c>
      <c r="G21">
        <v>26</v>
      </c>
      <c r="H21">
        <v>3106533.47</v>
      </c>
      <c r="I21">
        <v>6155366.29</v>
      </c>
      <c r="J21">
        <v>50.47</v>
      </c>
      <c r="K21">
        <v>0</v>
      </c>
      <c r="L21">
        <v>0</v>
      </c>
      <c r="M21" t="s">
        <v>62</v>
      </c>
      <c r="N21">
        <v>0</v>
      </c>
      <c r="O21">
        <v>0</v>
      </c>
      <c r="P21" t="s">
        <v>121</v>
      </c>
      <c r="Q21">
        <v>0</v>
      </c>
      <c r="R21" t="s">
        <v>117</v>
      </c>
      <c r="S21" t="s">
        <v>118</v>
      </c>
      <c r="T21" t="s">
        <v>117</v>
      </c>
      <c r="U21" t="s">
        <v>31</v>
      </c>
      <c r="V21" s="3">
        <f t="shared" ca="1" si="0"/>
        <v>45997</v>
      </c>
      <c r="W21" s="5">
        <f ca="1">Table1[[#This Row],[Todays Date]]-Table1[[#This Row],[Last Payment Date]]</f>
        <v>41</v>
      </c>
      <c r="X21" s="7">
        <f>Table1[[#This Row],[Credit Limit (QAR)]]-Table1[[#This Row],[Overdue Balance (QAR)]]</f>
        <v>6155366.29</v>
      </c>
      <c r="Y21" s="7">
        <f>Table1[[#This Row],[Current Balance (QAR)]]/Table1[[#This Row],[Account Age (months)]]</f>
        <v>119482.05653846155</v>
      </c>
      <c r="Z21" s="9">
        <f>Table1[[#This Row],[Current Balance (QAR)]]/Table1[[#This Row],[Credit Limit (QAR)]]</f>
        <v>0.50468702001485599</v>
      </c>
      <c r="AA21" t="str">
        <f>IF(Table1[[#This Row],[Broken Payment Promises]]&gt;0,"Yes","No")</f>
        <v>No</v>
      </c>
    </row>
    <row r="22" spans="1:27" x14ac:dyDescent="0.35">
      <c r="A22" t="s">
        <v>122</v>
      </c>
      <c r="B22" t="s">
        <v>123</v>
      </c>
      <c r="C22" t="s">
        <v>23</v>
      </c>
      <c r="D22" t="s">
        <v>66</v>
      </c>
      <c r="E22" t="s">
        <v>100</v>
      </c>
      <c r="F22" t="s">
        <v>124</v>
      </c>
      <c r="G22">
        <v>19</v>
      </c>
      <c r="H22">
        <v>4252123.43</v>
      </c>
      <c r="I22">
        <v>7245122.2599999998</v>
      </c>
      <c r="J22">
        <v>58.69</v>
      </c>
      <c r="K22">
        <v>0</v>
      </c>
      <c r="L22">
        <v>0</v>
      </c>
      <c r="M22" t="s">
        <v>62</v>
      </c>
      <c r="N22">
        <v>0</v>
      </c>
      <c r="O22">
        <v>0</v>
      </c>
      <c r="P22" t="s">
        <v>125</v>
      </c>
      <c r="Q22">
        <v>0</v>
      </c>
      <c r="R22" t="s">
        <v>117</v>
      </c>
      <c r="S22" t="s">
        <v>118</v>
      </c>
      <c r="T22" t="s">
        <v>117</v>
      </c>
      <c r="U22" t="s">
        <v>31</v>
      </c>
      <c r="V22" s="3">
        <f t="shared" ca="1" si="0"/>
        <v>45997</v>
      </c>
      <c r="W22" s="5">
        <f ca="1">Table1[[#This Row],[Todays Date]]-Table1[[#This Row],[Last Payment Date]]</f>
        <v>78</v>
      </c>
      <c r="X22" s="7">
        <f>Table1[[#This Row],[Credit Limit (QAR)]]-Table1[[#This Row],[Overdue Balance (QAR)]]</f>
        <v>7245122.2599999998</v>
      </c>
      <c r="Y22" s="7">
        <f>Table1[[#This Row],[Current Balance (QAR)]]/Table1[[#This Row],[Account Age (months)]]</f>
        <v>223795.96999999997</v>
      </c>
      <c r="Z22" s="9">
        <f>Table1[[#This Row],[Current Balance (QAR)]]/Table1[[#This Row],[Credit Limit (QAR)]]</f>
        <v>0.58689464130588731</v>
      </c>
      <c r="AA22" t="str">
        <f>IF(Table1[[#This Row],[Broken Payment Promises]]&gt;0,"Yes","No")</f>
        <v>No</v>
      </c>
    </row>
    <row r="23" spans="1:27" x14ac:dyDescent="0.35">
      <c r="A23" t="s">
        <v>126</v>
      </c>
      <c r="B23" t="s">
        <v>127</v>
      </c>
      <c r="C23" t="s">
        <v>23</v>
      </c>
      <c r="D23" t="s">
        <v>34</v>
      </c>
      <c r="E23" t="s">
        <v>67</v>
      </c>
      <c r="F23" t="s">
        <v>128</v>
      </c>
      <c r="G23">
        <v>29</v>
      </c>
      <c r="H23">
        <v>3346315.67</v>
      </c>
      <c r="I23">
        <v>5953848.0999999996</v>
      </c>
      <c r="J23">
        <v>56.2</v>
      </c>
      <c r="K23">
        <v>0</v>
      </c>
      <c r="L23">
        <v>0</v>
      </c>
      <c r="M23" t="s">
        <v>62</v>
      </c>
      <c r="N23">
        <v>0</v>
      </c>
      <c r="O23">
        <v>0</v>
      </c>
      <c r="P23" t="s">
        <v>129</v>
      </c>
      <c r="Q23">
        <v>0</v>
      </c>
      <c r="R23" t="s">
        <v>117</v>
      </c>
      <c r="S23" t="s">
        <v>118</v>
      </c>
      <c r="T23" t="s">
        <v>117</v>
      </c>
      <c r="U23" t="s">
        <v>31</v>
      </c>
      <c r="V23" s="3">
        <f t="shared" ca="1" si="0"/>
        <v>45997</v>
      </c>
      <c r="W23" s="5">
        <f ca="1">Table1[[#This Row],[Todays Date]]-Table1[[#This Row],[Last Payment Date]]</f>
        <v>46</v>
      </c>
      <c r="X23" s="7">
        <f>Table1[[#This Row],[Credit Limit (QAR)]]-Table1[[#This Row],[Overdue Balance (QAR)]]</f>
        <v>5953848.0999999996</v>
      </c>
      <c r="Y23" s="7">
        <f>Table1[[#This Row],[Current Balance (QAR)]]/Table1[[#This Row],[Account Age (months)]]</f>
        <v>115390.19551724137</v>
      </c>
      <c r="Z23" s="9">
        <f>Table1[[#This Row],[Current Balance (QAR)]]/Table1[[#This Row],[Credit Limit (QAR)]]</f>
        <v>0.56204249987499688</v>
      </c>
      <c r="AA23" t="str">
        <f>IF(Table1[[#This Row],[Broken Payment Promises]]&gt;0,"Yes","No")</f>
        <v>No</v>
      </c>
    </row>
    <row r="25" spans="1:27" x14ac:dyDescent="0.35">
      <c r="A25" s="15" t="s">
        <v>154</v>
      </c>
      <c r="B25" s="15"/>
      <c r="C25" s="15"/>
      <c r="D25" s="15"/>
      <c r="E25" s="15"/>
    </row>
    <row r="26" spans="1:27" x14ac:dyDescent="0.35">
      <c r="A26" s="10" t="s">
        <v>146</v>
      </c>
      <c r="B26" s="11" t="s">
        <v>148</v>
      </c>
      <c r="C26" s="11" t="s">
        <v>151</v>
      </c>
      <c r="D26" s="11" t="s">
        <v>152</v>
      </c>
      <c r="E26" s="11" t="s">
        <v>153</v>
      </c>
    </row>
    <row r="27" spans="1:27" x14ac:dyDescent="0.35">
      <c r="A27" s="12" t="s">
        <v>29</v>
      </c>
      <c r="B27" s="11">
        <v>3</v>
      </c>
      <c r="C27" s="11">
        <v>369</v>
      </c>
      <c r="D27" s="13">
        <v>78.333333333333329</v>
      </c>
      <c r="E27" s="13">
        <v>764003.42</v>
      </c>
    </row>
    <row r="28" spans="1:27" x14ac:dyDescent="0.35">
      <c r="A28" s="12" t="s">
        <v>49</v>
      </c>
      <c r="B28" s="11">
        <v>4</v>
      </c>
      <c r="C28" s="11">
        <v>401</v>
      </c>
      <c r="D28" s="13">
        <v>58.75</v>
      </c>
      <c r="E28" s="13">
        <v>907760.16</v>
      </c>
    </row>
    <row r="29" spans="1:27" x14ac:dyDescent="0.35">
      <c r="A29" s="12" t="s">
        <v>94</v>
      </c>
      <c r="B29" s="11">
        <v>6</v>
      </c>
      <c r="C29" s="11">
        <v>184</v>
      </c>
      <c r="D29" s="13">
        <v>18.333333333333332</v>
      </c>
      <c r="E29" s="13">
        <v>872745.98</v>
      </c>
    </row>
    <row r="30" spans="1:27" x14ac:dyDescent="0.35">
      <c r="A30" s="12" t="s">
        <v>70</v>
      </c>
      <c r="B30" s="11">
        <v>5</v>
      </c>
      <c r="C30" s="11">
        <v>509</v>
      </c>
      <c r="D30" s="13">
        <v>40</v>
      </c>
      <c r="E30" s="13">
        <v>613896.68999999994</v>
      </c>
    </row>
    <row r="31" spans="1:27" x14ac:dyDescent="0.35">
      <c r="A31" s="12" t="s">
        <v>117</v>
      </c>
      <c r="B31" s="11">
        <v>4</v>
      </c>
      <c r="C31" s="11">
        <v>0</v>
      </c>
      <c r="D31" s="13">
        <v>2.5</v>
      </c>
      <c r="E31" s="13">
        <v>0</v>
      </c>
    </row>
    <row r="32" spans="1:27" x14ac:dyDescent="0.35">
      <c r="A32" s="12" t="s">
        <v>147</v>
      </c>
      <c r="B32" s="11">
        <v>22</v>
      </c>
      <c r="C32" s="11">
        <v>1463</v>
      </c>
      <c r="D32" s="13">
        <v>35.909090909090907</v>
      </c>
      <c r="E32" s="13">
        <v>907760.16</v>
      </c>
    </row>
    <row r="34" spans="1:26" x14ac:dyDescent="0.35">
      <c r="A34" s="16" t="s">
        <v>157</v>
      </c>
      <c r="B34" s="17"/>
      <c r="C34" s="17"/>
      <c r="D34" s="17"/>
      <c r="E34" s="17"/>
    </row>
    <row r="35" spans="1:26" x14ac:dyDescent="0.35">
      <c r="A35" s="10" t="s">
        <v>146</v>
      </c>
      <c r="B35" s="11" t="s">
        <v>156</v>
      </c>
      <c r="C35" s="11" t="s">
        <v>155</v>
      </c>
      <c r="D35" s="11" t="s">
        <v>149</v>
      </c>
      <c r="W35"/>
      <c r="X35"/>
      <c r="Y35"/>
      <c r="Z35"/>
    </row>
    <row r="36" spans="1:26" x14ac:dyDescent="0.35">
      <c r="A36" s="12" t="s">
        <v>57</v>
      </c>
      <c r="B36" s="11">
        <v>6</v>
      </c>
      <c r="C36" s="13">
        <v>97.986666666666665</v>
      </c>
      <c r="D36" s="13">
        <v>1563296.15</v>
      </c>
      <c r="W36"/>
      <c r="X36"/>
      <c r="Y36"/>
      <c r="Z36"/>
    </row>
    <row r="37" spans="1:26" x14ac:dyDescent="0.35">
      <c r="A37" s="12" t="s">
        <v>66</v>
      </c>
      <c r="B37" s="11">
        <v>4</v>
      </c>
      <c r="C37" s="13">
        <v>63.917499999999997</v>
      </c>
      <c r="D37" s="13">
        <v>1080865.32</v>
      </c>
      <c r="W37"/>
      <c r="X37"/>
      <c r="Y37"/>
      <c r="Z37"/>
    </row>
    <row r="38" spans="1:26" x14ac:dyDescent="0.35">
      <c r="A38" s="12" t="s">
        <v>82</v>
      </c>
      <c r="B38" s="11">
        <v>2</v>
      </c>
      <c r="C38" s="13">
        <v>35.729999999999997</v>
      </c>
      <c r="D38" s="13">
        <v>915466.21</v>
      </c>
      <c r="W38"/>
      <c r="X38"/>
      <c r="Y38"/>
      <c r="Z38"/>
    </row>
    <row r="39" spans="1:26" x14ac:dyDescent="0.35">
      <c r="A39" s="12" t="s">
        <v>24</v>
      </c>
      <c r="B39" s="11">
        <v>3</v>
      </c>
      <c r="C39" s="13">
        <v>122.16666666666667</v>
      </c>
      <c r="D39" s="13">
        <v>1671763.58</v>
      </c>
      <c r="W39"/>
      <c r="X39"/>
      <c r="Y39"/>
      <c r="Z39"/>
    </row>
    <row r="40" spans="1:26" x14ac:dyDescent="0.35">
      <c r="A40" s="12" t="s">
        <v>34</v>
      </c>
      <c r="B40" s="11">
        <v>7</v>
      </c>
      <c r="C40" s="13">
        <v>75.187142857142859</v>
      </c>
      <c r="D40" s="13">
        <v>1860595.02</v>
      </c>
      <c r="W40"/>
      <c r="X40"/>
      <c r="Y40"/>
      <c r="Z40"/>
    </row>
    <row r="41" spans="1:26" x14ac:dyDescent="0.35">
      <c r="A41" s="12" t="s">
        <v>147</v>
      </c>
      <c r="B41" s="11">
        <v>22</v>
      </c>
      <c r="C41" s="13">
        <v>82.175454545454542</v>
      </c>
      <c r="D41" s="13">
        <v>7091986.2799999993</v>
      </c>
      <c r="W41"/>
      <c r="X41"/>
      <c r="Y41"/>
      <c r="Z41"/>
    </row>
    <row r="42" spans="1:26" ht="15" thickBot="1" x14ac:dyDescent="0.4">
      <c r="W42"/>
      <c r="X42"/>
      <c r="Y42"/>
      <c r="Z42"/>
    </row>
    <row r="43" spans="1:26" ht="15" thickBot="1" x14ac:dyDescent="0.4">
      <c r="A43" s="20" t="s">
        <v>160</v>
      </c>
      <c r="B43" s="21"/>
      <c r="C43" s="21"/>
      <c r="D43" s="21"/>
      <c r="E43" s="21"/>
      <c r="F43" s="21"/>
      <c r="G43" s="22"/>
      <c r="W43"/>
      <c r="X43"/>
      <c r="Y43"/>
      <c r="Z43"/>
    </row>
    <row r="44" spans="1:26" x14ac:dyDescent="0.35">
      <c r="A44" s="18" t="s">
        <v>146</v>
      </c>
      <c r="B44" s="19" t="s">
        <v>150</v>
      </c>
      <c r="C44" s="19" t="s">
        <v>151</v>
      </c>
      <c r="D44" s="19" t="s">
        <v>149</v>
      </c>
      <c r="E44" s="19" t="s">
        <v>158</v>
      </c>
      <c r="F44" s="19" t="s">
        <v>159</v>
      </c>
      <c r="G44" s="19" t="s">
        <v>155</v>
      </c>
    </row>
    <row r="45" spans="1:26" x14ac:dyDescent="0.35">
      <c r="A45" s="14" t="s">
        <v>108</v>
      </c>
      <c r="B45" s="13">
        <v>15</v>
      </c>
      <c r="C45" s="13">
        <v>42</v>
      </c>
      <c r="D45" s="13">
        <v>158171.89000000001</v>
      </c>
      <c r="E45" s="13">
        <v>739690.7</v>
      </c>
      <c r="F45" s="13">
        <v>6083732.0499999998</v>
      </c>
      <c r="G45" s="13">
        <v>12.16</v>
      </c>
    </row>
    <row r="46" spans="1:26" x14ac:dyDescent="0.35">
      <c r="A46" s="14" t="s">
        <v>114</v>
      </c>
      <c r="B46" s="13">
        <v>10</v>
      </c>
      <c r="C46" s="13">
        <v>0</v>
      </c>
      <c r="D46" s="13">
        <v>0</v>
      </c>
      <c r="E46" s="13">
        <v>598909.56000000006</v>
      </c>
      <c r="F46" s="13">
        <v>4449431.37</v>
      </c>
      <c r="G46" s="13">
        <v>13.46</v>
      </c>
    </row>
    <row r="47" spans="1:26" x14ac:dyDescent="0.35">
      <c r="A47" s="14" t="s">
        <v>104</v>
      </c>
      <c r="B47" s="13">
        <v>15</v>
      </c>
      <c r="C47" s="13">
        <v>57</v>
      </c>
      <c r="D47" s="13">
        <v>872745.98</v>
      </c>
      <c r="E47" s="13">
        <v>4652003.38</v>
      </c>
      <c r="F47" s="13">
        <v>8100391.7599999998</v>
      </c>
      <c r="G47" s="13">
        <v>57.43</v>
      </c>
    </row>
    <row r="48" spans="1:26" x14ac:dyDescent="0.35">
      <c r="A48" s="14" t="s">
        <v>112</v>
      </c>
      <c r="B48" s="13">
        <v>15</v>
      </c>
      <c r="C48" s="13">
        <v>44</v>
      </c>
      <c r="D48" s="13">
        <v>729999.28</v>
      </c>
      <c r="E48" s="13">
        <v>2276282.96</v>
      </c>
      <c r="F48" s="13">
        <v>4011987.34</v>
      </c>
      <c r="G48" s="13">
        <v>56.74</v>
      </c>
    </row>
    <row r="49" spans="1:7" x14ac:dyDescent="0.35">
      <c r="A49" s="14" t="s">
        <v>86</v>
      </c>
      <c r="B49" s="13">
        <v>35</v>
      </c>
      <c r="C49" s="13">
        <v>37</v>
      </c>
      <c r="D49" s="13">
        <v>613896.68999999994</v>
      </c>
      <c r="E49" s="13">
        <v>1192924.44</v>
      </c>
      <c r="F49" s="13">
        <v>2486152.11</v>
      </c>
      <c r="G49" s="13">
        <v>47.98</v>
      </c>
    </row>
    <row r="50" spans="1:7" x14ac:dyDescent="0.35">
      <c r="A50" s="14" t="s">
        <v>81</v>
      </c>
      <c r="B50" s="13">
        <v>40</v>
      </c>
      <c r="C50" s="13">
        <v>158</v>
      </c>
      <c r="D50" s="13">
        <v>42720.23</v>
      </c>
      <c r="E50" s="13">
        <v>1370566.02</v>
      </c>
      <c r="F50" s="13">
        <v>9768488.0600000005</v>
      </c>
      <c r="G50" s="13">
        <v>14.03</v>
      </c>
    </row>
    <row r="51" spans="1:7" x14ac:dyDescent="0.35">
      <c r="A51" s="14" t="s">
        <v>73</v>
      </c>
      <c r="B51" s="13">
        <v>40</v>
      </c>
      <c r="C51" s="13">
        <v>81</v>
      </c>
      <c r="D51" s="13">
        <v>74243.320000000007</v>
      </c>
      <c r="E51" s="13">
        <v>1132882.8899999999</v>
      </c>
      <c r="F51" s="13">
        <v>5625209.8200000003</v>
      </c>
      <c r="G51" s="13">
        <v>20.14</v>
      </c>
    </row>
    <row r="52" spans="1:7" x14ac:dyDescent="0.35">
      <c r="A52" s="14" t="s">
        <v>52</v>
      </c>
      <c r="B52" s="13">
        <v>60</v>
      </c>
      <c r="C52" s="13">
        <v>158</v>
      </c>
      <c r="D52" s="13">
        <v>907760.16</v>
      </c>
      <c r="E52" s="13">
        <v>1655507.85</v>
      </c>
      <c r="F52" s="13">
        <v>1308670.75</v>
      </c>
      <c r="G52" s="13">
        <v>126.5</v>
      </c>
    </row>
    <row r="53" spans="1:7" x14ac:dyDescent="0.35">
      <c r="A53" s="14" t="s">
        <v>77</v>
      </c>
      <c r="B53" s="13">
        <v>40</v>
      </c>
      <c r="C53" s="13">
        <v>153</v>
      </c>
      <c r="D53" s="13">
        <v>590883.65</v>
      </c>
      <c r="E53" s="13">
        <v>4230442.55</v>
      </c>
      <c r="F53" s="13">
        <v>7498469.0899999999</v>
      </c>
      <c r="G53" s="13">
        <v>56.42</v>
      </c>
    </row>
    <row r="54" spans="1:7" x14ac:dyDescent="0.35">
      <c r="A54" s="14" t="s">
        <v>45</v>
      </c>
      <c r="B54" s="13">
        <v>65</v>
      </c>
      <c r="C54" s="13">
        <v>92</v>
      </c>
      <c r="D54" s="13">
        <v>44455.57</v>
      </c>
      <c r="E54" s="13">
        <v>127400.21</v>
      </c>
      <c r="F54" s="13">
        <v>4291674.66</v>
      </c>
      <c r="G54" s="13">
        <v>2.97</v>
      </c>
    </row>
    <row r="55" spans="1:7" x14ac:dyDescent="0.35">
      <c r="A55" s="14" t="s">
        <v>123</v>
      </c>
      <c r="B55" s="13">
        <v>0</v>
      </c>
      <c r="C55" s="13">
        <v>0</v>
      </c>
      <c r="D55" s="13">
        <v>0</v>
      </c>
      <c r="E55" s="13">
        <v>4252123.43</v>
      </c>
      <c r="F55" s="13">
        <v>7245122.2599999998</v>
      </c>
      <c r="G55" s="13">
        <v>58.69</v>
      </c>
    </row>
    <row r="56" spans="1:7" x14ac:dyDescent="0.35">
      <c r="A56" s="14" t="s">
        <v>91</v>
      </c>
      <c r="B56" s="13">
        <v>25</v>
      </c>
      <c r="C56" s="13">
        <v>41</v>
      </c>
      <c r="D56" s="13">
        <v>851538.19</v>
      </c>
      <c r="E56" s="13">
        <v>4635189.3499999996</v>
      </c>
      <c r="F56" s="13">
        <v>6545662.5499999998</v>
      </c>
      <c r="G56" s="13">
        <v>70.81</v>
      </c>
    </row>
    <row r="57" spans="1:7" x14ac:dyDescent="0.35">
      <c r="A57" s="14" t="s">
        <v>56</v>
      </c>
      <c r="B57" s="13">
        <v>60</v>
      </c>
      <c r="C57" s="13">
        <v>151</v>
      </c>
      <c r="D57" s="13">
        <v>600881.66</v>
      </c>
      <c r="E57" s="13">
        <v>3992887.78</v>
      </c>
      <c r="F57" s="13">
        <v>1916004.42</v>
      </c>
      <c r="G57" s="13">
        <v>208.4</v>
      </c>
    </row>
    <row r="58" spans="1:7" x14ac:dyDescent="0.35">
      <c r="A58" s="14" t="s">
        <v>99</v>
      </c>
      <c r="B58" s="13">
        <v>20</v>
      </c>
      <c r="C58" s="13">
        <v>0</v>
      </c>
      <c r="D58" s="13">
        <v>0</v>
      </c>
      <c r="E58" s="13">
        <v>3789038.98</v>
      </c>
      <c r="F58" s="13">
        <v>4309043.16</v>
      </c>
      <c r="G58" s="13">
        <v>87.93</v>
      </c>
    </row>
    <row r="59" spans="1:7" x14ac:dyDescent="0.35">
      <c r="A59" s="14" t="s">
        <v>97</v>
      </c>
      <c r="B59" s="13">
        <v>20</v>
      </c>
      <c r="C59" s="13">
        <v>0</v>
      </c>
      <c r="D59" s="13">
        <v>0</v>
      </c>
      <c r="E59" s="13">
        <v>4870089.82</v>
      </c>
      <c r="F59" s="13">
        <v>2404436.27</v>
      </c>
      <c r="G59" s="13">
        <v>202.55</v>
      </c>
    </row>
    <row r="60" spans="1:7" x14ac:dyDescent="0.35">
      <c r="A60" s="14" t="s">
        <v>120</v>
      </c>
      <c r="B60" s="13">
        <v>0</v>
      </c>
      <c r="C60" s="13">
        <v>0</v>
      </c>
      <c r="D60" s="13">
        <v>0</v>
      </c>
      <c r="E60" s="13">
        <v>3106533.47</v>
      </c>
      <c r="F60" s="13">
        <v>6155366.29</v>
      </c>
      <c r="G60" s="13">
        <v>50.47</v>
      </c>
    </row>
    <row r="61" spans="1:7" x14ac:dyDescent="0.35">
      <c r="A61" s="14" t="s">
        <v>39</v>
      </c>
      <c r="B61" s="13">
        <v>70</v>
      </c>
      <c r="C61" s="13">
        <v>118</v>
      </c>
      <c r="D61" s="13">
        <v>23132.31</v>
      </c>
      <c r="E61" s="13">
        <v>4306705.01</v>
      </c>
      <c r="F61" s="13">
        <v>6835044.6299999999</v>
      </c>
      <c r="G61" s="13">
        <v>63.01</v>
      </c>
    </row>
    <row r="62" spans="1:7" x14ac:dyDescent="0.35">
      <c r="A62" s="14" t="s">
        <v>60</v>
      </c>
      <c r="B62" s="13">
        <v>50</v>
      </c>
      <c r="C62" s="13">
        <v>0</v>
      </c>
      <c r="D62" s="13">
        <v>0</v>
      </c>
      <c r="E62" s="13">
        <v>3025519.31</v>
      </c>
      <c r="F62" s="13">
        <v>7109918.5199999996</v>
      </c>
      <c r="G62" s="13">
        <v>42.55</v>
      </c>
    </row>
    <row r="63" spans="1:7" x14ac:dyDescent="0.35">
      <c r="A63" s="14" t="s">
        <v>33</v>
      </c>
      <c r="B63" s="13">
        <v>80</v>
      </c>
      <c r="C63" s="13">
        <v>99</v>
      </c>
      <c r="D63" s="13">
        <v>327572.26</v>
      </c>
      <c r="E63" s="13">
        <v>2702084.69</v>
      </c>
      <c r="F63" s="13">
        <v>993868.72</v>
      </c>
      <c r="G63" s="13">
        <v>271.88</v>
      </c>
    </row>
    <row r="64" spans="1:7" x14ac:dyDescent="0.35">
      <c r="A64" s="14" t="s">
        <v>65</v>
      </c>
      <c r="B64" s="13">
        <v>45</v>
      </c>
      <c r="C64" s="13">
        <v>80</v>
      </c>
      <c r="D64" s="13">
        <v>489981.67</v>
      </c>
      <c r="E64" s="13">
        <v>1558667.23</v>
      </c>
      <c r="F64" s="13">
        <v>1730092.95</v>
      </c>
      <c r="G64" s="13">
        <v>90.09</v>
      </c>
    </row>
    <row r="65" spans="1:7" x14ac:dyDescent="0.35">
      <c r="A65" s="14" t="s">
        <v>22</v>
      </c>
      <c r="B65" s="13">
        <v>85</v>
      </c>
      <c r="C65" s="13">
        <v>152</v>
      </c>
      <c r="D65" s="13">
        <v>764003.42</v>
      </c>
      <c r="E65" s="13">
        <v>4928969.75</v>
      </c>
      <c r="F65" s="13">
        <v>2496347.19</v>
      </c>
      <c r="G65" s="13">
        <v>197.45</v>
      </c>
    </row>
    <row r="66" spans="1:7" x14ac:dyDescent="0.35">
      <c r="A66" s="14" t="s">
        <v>127</v>
      </c>
      <c r="B66" s="13">
        <v>0</v>
      </c>
      <c r="C66" s="13">
        <v>0</v>
      </c>
      <c r="D66" s="13">
        <v>0</v>
      </c>
      <c r="E66" s="13">
        <v>3346315.67</v>
      </c>
      <c r="F66" s="13">
        <v>5953848.0999999996</v>
      </c>
      <c r="G66" s="13">
        <v>56.2</v>
      </c>
    </row>
    <row r="67" spans="1:7" x14ac:dyDescent="0.35">
      <c r="A67" s="14" t="s">
        <v>147</v>
      </c>
      <c r="B67" s="13">
        <v>790</v>
      </c>
      <c r="C67" s="13">
        <v>1463</v>
      </c>
      <c r="D67" s="13">
        <v>7091986.2799999984</v>
      </c>
      <c r="E67" s="13">
        <v>62490735.04999999</v>
      </c>
      <c r="F67" s="13">
        <v>107318962.06999998</v>
      </c>
      <c r="G67" s="13">
        <v>82.175454545454542</v>
      </c>
    </row>
  </sheetData>
  <sortState xmlns:xlrd2="http://schemas.microsoft.com/office/spreadsheetml/2017/richdata2" columnSort="1" ref="A44:G67">
    <sortCondition descending="1" ref="F44"/>
  </sortState>
  <mergeCells count="3">
    <mergeCell ref="A25:E25"/>
    <mergeCell ref="A34:E34"/>
    <mergeCell ref="A43:G43"/>
  </mergeCells>
  <pageMargins left="0.75" right="0.75" top="1" bottom="1" header="0.5" footer="0.5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sheetData>
    <row r="1" spans="1:2" x14ac:dyDescent="0.35">
      <c r="A1" s="1" t="s">
        <v>130</v>
      </c>
      <c r="B1" s="1" t="s">
        <v>131</v>
      </c>
    </row>
    <row r="2" spans="1:2" x14ac:dyDescent="0.35">
      <c r="A2" t="s">
        <v>132</v>
      </c>
      <c r="B2">
        <v>22</v>
      </c>
    </row>
    <row r="3" spans="1:2" x14ac:dyDescent="0.35">
      <c r="A3" t="s">
        <v>133</v>
      </c>
      <c r="B3">
        <v>3</v>
      </c>
    </row>
    <row r="4" spans="1:2" x14ac:dyDescent="0.35">
      <c r="A4" t="s">
        <v>134</v>
      </c>
      <c r="B4">
        <v>4</v>
      </c>
    </row>
    <row r="5" spans="1:2" x14ac:dyDescent="0.35">
      <c r="A5" t="s">
        <v>135</v>
      </c>
      <c r="B5">
        <v>5</v>
      </c>
    </row>
    <row r="6" spans="1:2" x14ac:dyDescent="0.35">
      <c r="A6" t="s">
        <v>136</v>
      </c>
      <c r="B6">
        <v>35.909999999999997</v>
      </c>
    </row>
    <row r="7" spans="1:2" x14ac:dyDescent="0.35">
      <c r="A7" t="s">
        <v>137</v>
      </c>
      <c r="B7">
        <v>7091986.2800000003</v>
      </c>
    </row>
    <row r="8" spans="1:2" x14ac:dyDescent="0.35">
      <c r="A8" t="s">
        <v>138</v>
      </c>
      <c r="B8">
        <v>4</v>
      </c>
    </row>
    <row r="9" spans="1:2" x14ac:dyDescent="0.35">
      <c r="A9" t="s">
        <v>139</v>
      </c>
      <c r="B9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"/>
  <sheetViews>
    <sheetView workbookViewId="0"/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31</v>
      </c>
      <c r="H2">
        <v>4928969.75</v>
      </c>
      <c r="I2">
        <v>2496347.19</v>
      </c>
      <c r="J2">
        <v>197.45</v>
      </c>
      <c r="K2">
        <v>764003.42</v>
      </c>
      <c r="L2">
        <v>152</v>
      </c>
      <c r="M2" t="s">
        <v>27</v>
      </c>
      <c r="N2">
        <v>0</v>
      </c>
      <c r="O2">
        <v>5</v>
      </c>
      <c r="P2" t="s">
        <v>28</v>
      </c>
      <c r="Q2">
        <v>85</v>
      </c>
      <c r="R2" t="s">
        <v>29</v>
      </c>
      <c r="S2" t="s">
        <v>30</v>
      </c>
      <c r="T2" t="s">
        <v>29</v>
      </c>
      <c r="U2" t="s">
        <v>31</v>
      </c>
    </row>
    <row r="3" spans="1:21" x14ac:dyDescent="0.35">
      <c r="A3" t="s">
        <v>32</v>
      </c>
      <c r="B3" t="s">
        <v>33</v>
      </c>
      <c r="C3" t="s">
        <v>23</v>
      </c>
      <c r="D3" t="s">
        <v>34</v>
      </c>
      <c r="E3" t="s">
        <v>35</v>
      </c>
      <c r="F3" t="s">
        <v>36</v>
      </c>
      <c r="G3">
        <v>27</v>
      </c>
      <c r="H3">
        <v>2702084.69</v>
      </c>
      <c r="I3">
        <v>993868.72</v>
      </c>
      <c r="J3">
        <v>271.88</v>
      </c>
      <c r="K3">
        <v>327572.26</v>
      </c>
      <c r="L3">
        <v>99</v>
      </c>
      <c r="M3" t="s">
        <v>27</v>
      </c>
      <c r="N3">
        <v>0</v>
      </c>
      <c r="O3">
        <v>4</v>
      </c>
      <c r="P3" t="s">
        <v>37</v>
      </c>
      <c r="Q3">
        <v>80</v>
      </c>
      <c r="R3" t="s">
        <v>29</v>
      </c>
      <c r="S3" t="s">
        <v>30</v>
      </c>
      <c r="T3" t="s">
        <v>29</v>
      </c>
      <c r="U3" t="s">
        <v>31</v>
      </c>
    </row>
    <row r="4" spans="1:21" x14ac:dyDescent="0.35">
      <c r="A4" t="s">
        <v>38</v>
      </c>
      <c r="B4" t="s">
        <v>39</v>
      </c>
      <c r="C4" t="s">
        <v>40</v>
      </c>
      <c r="D4" t="s">
        <v>34</v>
      </c>
      <c r="E4" t="s">
        <v>41</v>
      </c>
      <c r="F4" t="s">
        <v>42</v>
      </c>
      <c r="G4">
        <v>8</v>
      </c>
      <c r="H4">
        <v>4306705.01</v>
      </c>
      <c r="I4">
        <v>6835044.6299999999</v>
      </c>
      <c r="J4">
        <v>63.01</v>
      </c>
      <c r="K4">
        <v>23132.31</v>
      </c>
      <c r="L4">
        <v>118</v>
      </c>
      <c r="M4" t="s">
        <v>27</v>
      </c>
      <c r="N4">
        <v>2</v>
      </c>
      <c r="O4">
        <v>0</v>
      </c>
      <c r="P4" t="s">
        <v>43</v>
      </c>
      <c r="Q4">
        <v>70</v>
      </c>
      <c r="R4" t="s">
        <v>29</v>
      </c>
      <c r="S4" t="s">
        <v>30</v>
      </c>
      <c r="T4" t="s">
        <v>29</v>
      </c>
      <c r="U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Qatar_Airways_High_Risk_Account</vt:lpstr>
      <vt:lpstr>Summary Statistics</vt:lpstr>
      <vt:lpstr>Critical Risk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superadmin</cp:lastModifiedBy>
  <dcterms:created xsi:type="dcterms:W3CDTF">2025-12-06T09:31:40Z</dcterms:created>
  <dcterms:modified xsi:type="dcterms:W3CDTF">2025-12-06T14:57:52Z</dcterms:modified>
</cp:coreProperties>
</file>
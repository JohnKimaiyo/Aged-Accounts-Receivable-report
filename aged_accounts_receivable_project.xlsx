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KIMAIYO\Airline Roles\Qatart Airways\Finance Assistant - Accounts Receivable\"/>
    </mc:Choice>
  </mc:AlternateContent>
  <xr:revisionPtr revIDLastSave="0" documentId="13_ncr:1_{3A832C4C-A8FD-495D-A973-2A045F2CA5D2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Dashboard" sheetId="10" state="hidden" r:id="rId1"/>
    <sheet name="Aging Summary" sheetId="11" r:id="rId2"/>
    <sheet name="Aging Analysis" sheetId="9" r:id="rId3"/>
    <sheet name="Customer Master" sheetId="1" state="hidden" r:id="rId4"/>
    <sheet name="Invoice Details" sheetId="2" r:id="rId5"/>
    <sheet name="Aged Debtors Summary" sheetId="3" state="hidden" r:id="rId6"/>
    <sheet name="Customer Statements" sheetId="4" state="hidden" r:id="rId7"/>
    <sheet name="Payment History" sheetId="5" state="hidden" r:id="rId8"/>
    <sheet name="Collection Follow-up" sheetId="6" state="hidden" r:id="rId9"/>
    <sheet name="Dashboard Summary" sheetId="7" state="hidden" r:id="rId10"/>
    <sheet name="Reconciliation" sheetId="8" state="hidden" r:id="rId11"/>
  </sheets>
  <calcPr calcId="191029"/>
  <pivotCaches>
    <pivotCache cacheId="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1" l="1"/>
  <c r="F8" i="11"/>
  <c r="F7" i="11"/>
  <c r="F6" i="11"/>
  <c r="E9" i="11"/>
  <c r="E8" i="11"/>
  <c r="E7" i="11"/>
  <c r="E6" i="11"/>
  <c r="E10" i="11" s="1"/>
  <c r="C2" i="11"/>
  <c r="C9" i="11"/>
  <c r="C8" i="11"/>
  <c r="C7" i="11"/>
  <c r="C6" i="11"/>
  <c r="C10" i="11" l="1"/>
  <c r="D10" i="11" s="1"/>
  <c r="D7" i="11"/>
  <c r="D8" i="11"/>
  <c r="D9" i="11"/>
  <c r="D6" i="11" l="1"/>
</calcChain>
</file>

<file path=xl/sharedStrings.xml><?xml version="1.0" encoding="utf-8"?>
<sst xmlns="http://schemas.openxmlformats.org/spreadsheetml/2006/main" count="3187" uniqueCount="881">
  <si>
    <t>Customer ID</t>
  </si>
  <si>
    <t>Customer Name</t>
  </si>
  <si>
    <t>Company Name</t>
  </si>
  <si>
    <t>Contact Person</t>
  </si>
  <si>
    <t>Phone</t>
  </si>
  <si>
    <t>Email</t>
  </si>
  <si>
    <t>Credit Limit (QAR)</t>
  </si>
  <si>
    <t>Payment Terms</t>
  </si>
  <si>
    <t>CUST-1000</t>
  </si>
  <si>
    <t>Anna Schmidt</t>
  </si>
  <si>
    <t>Al-Aviation W.L.L.</t>
  </si>
  <si>
    <t>+974 5253 5012</t>
  </si>
  <si>
    <t>accounts@alaviationwll.com</t>
  </si>
  <si>
    <t>Net 15</t>
  </si>
  <si>
    <t>CUST-1001</t>
  </si>
  <si>
    <t>Aisha Al-Attiyah</t>
  </si>
  <si>
    <t>International Services W.L.L.</t>
  </si>
  <si>
    <t>+974 6456 1520</t>
  </si>
  <si>
    <t>accounts@internationalserviceswll.com</t>
  </si>
  <si>
    <t>Net 30</t>
  </si>
  <si>
    <t>CUST-1002</t>
  </si>
  <si>
    <t>Omar Al-Jaber</t>
  </si>
  <si>
    <t>Qatar Services Est.</t>
  </si>
  <si>
    <t>+974 3217 4257</t>
  </si>
  <si>
    <t>accounts@qatarservicesest.com</t>
  </si>
  <si>
    <t>Due on receipt</t>
  </si>
  <si>
    <t>CUST-1003</t>
  </si>
  <si>
    <t>Layla Al-Emadi</t>
  </si>
  <si>
    <t>Middle East Corporate Est.</t>
  </si>
  <si>
    <t>+974 3053 3615</t>
  </si>
  <si>
    <t>accounts@middleeastcorporateest.com</t>
  </si>
  <si>
    <t>Net 45</t>
  </si>
  <si>
    <t>CUST-1004</t>
  </si>
  <si>
    <t>Hassan Al-Maadeed</t>
  </si>
  <si>
    <t>Qatar Corporate LLC</t>
  </si>
  <si>
    <t>+974 3837 2519</t>
  </si>
  <si>
    <t>accounts@qatarcorporatellc.com</t>
  </si>
  <si>
    <t>CUST-1005</t>
  </si>
  <si>
    <t>Mariam Al-Khalaf</t>
  </si>
  <si>
    <t>Gulf Corporate Est.</t>
  </si>
  <si>
    <t>+974 3355 8527</t>
  </si>
  <si>
    <t>accounts@gulfcorporateest.com</t>
  </si>
  <si>
    <t>CUST-1006</t>
  </si>
  <si>
    <t>Yousef Al-Ansari</t>
  </si>
  <si>
    <t>Al-Corporate Est.</t>
  </si>
  <si>
    <t>+974 5962 4150</t>
  </si>
  <si>
    <t>accounts@alcorporateest.com</t>
  </si>
  <si>
    <t>CUST-1007</t>
  </si>
  <si>
    <t>Michael Brown</t>
  </si>
  <si>
    <t>Qatar Trading Group</t>
  </si>
  <si>
    <t>+974 4907 2654</t>
  </si>
  <si>
    <t>accounts@qatartradinggroup.com</t>
  </si>
  <si>
    <t>CUST-1008</t>
  </si>
  <si>
    <t>Abdullah Al-Mohammed</t>
  </si>
  <si>
    <t>Gulf Corporate LLC</t>
  </si>
  <si>
    <t>+974 5910 4432</t>
  </si>
  <si>
    <t>accounts@gulfcorporatellc.com</t>
  </si>
  <si>
    <t>CUST-1009</t>
  </si>
  <si>
    <t>David Kim</t>
  </si>
  <si>
    <t>Qatar Aviation Est.</t>
  </si>
  <si>
    <t>+974 5005 3677</t>
  </si>
  <si>
    <t>accounts@qataraviationest.com</t>
  </si>
  <si>
    <t>CUST-1010</t>
  </si>
  <si>
    <t>International Aviation LLC</t>
  </si>
  <si>
    <t>+974 5656 1916</t>
  </si>
  <si>
    <t>accounts@internationalaviationllc.com</t>
  </si>
  <si>
    <t>CUST-1011</t>
  </si>
  <si>
    <t>Ali Al-Baker</t>
  </si>
  <si>
    <t>Middle East Trading Group</t>
  </si>
  <si>
    <t>+974 4728 6155</t>
  </si>
  <si>
    <t>accounts@middleeasttradinggroup.com</t>
  </si>
  <si>
    <t>CUST-1012</t>
  </si>
  <si>
    <t>Middle East Corporate LLC</t>
  </si>
  <si>
    <t>+974 4143 5040</t>
  </si>
  <si>
    <t>accounts@middleeastcorporatellc.com</t>
  </si>
  <si>
    <t>CUST-1013</t>
  </si>
  <si>
    <t>Elena Rodriguez</t>
  </si>
  <si>
    <t>Middle East Logistics Est.</t>
  </si>
  <si>
    <t>+974 5965 4593</t>
  </si>
  <si>
    <t>accounts@middleeastlogisticsest.com</t>
  </si>
  <si>
    <t>CUST-1014</t>
  </si>
  <si>
    <t>Mohammed Al-Thani</t>
  </si>
  <si>
    <t>Al-Travel W.L.L.</t>
  </si>
  <si>
    <t>+974 4310 7916</t>
  </si>
  <si>
    <t>accounts@altravelwll.com</t>
  </si>
  <si>
    <t>CUST-1015</t>
  </si>
  <si>
    <t>+974 7334 5119</t>
  </si>
  <si>
    <t>CUST-1016</t>
  </si>
  <si>
    <t>+974 5786 2827</t>
  </si>
  <si>
    <t>CUST-1017</t>
  </si>
  <si>
    <t>Noor Al-Mohannadi</t>
  </si>
  <si>
    <t>Middle East Aviation W.L.L.</t>
  </si>
  <si>
    <t>+974 5157 9201</t>
  </si>
  <si>
    <t>accounts@middleeastaviationwll.com</t>
  </si>
  <si>
    <t>CUST-1018</t>
  </si>
  <si>
    <t>Gulf Services Est.</t>
  </si>
  <si>
    <t>+974 4629 3504</t>
  </si>
  <si>
    <t>accounts@gulfservicesest.com</t>
  </si>
  <si>
    <t>CUST-1019</t>
  </si>
  <si>
    <t>Robert Chen</t>
  </si>
  <si>
    <t>+974 5655 9005</t>
  </si>
  <si>
    <t>CUST-1020</t>
  </si>
  <si>
    <t>Gulf Trading LLC</t>
  </si>
  <si>
    <t>+974 4973 2290</t>
  </si>
  <si>
    <t>accounts@gulftradingllc.com</t>
  </si>
  <si>
    <t>CUST-1021</t>
  </si>
  <si>
    <t>International Travel LLC</t>
  </si>
  <si>
    <t>+974 6893 3705</t>
  </si>
  <si>
    <t>accounts@internationaltravelllc.com</t>
  </si>
  <si>
    <t>CUST-1022</t>
  </si>
  <si>
    <t>+974 5553 7537</t>
  </si>
  <si>
    <t>CUST-1023</t>
  </si>
  <si>
    <t>Sophie Martin</t>
  </si>
  <si>
    <t>Middle East Travel W.L.L.</t>
  </si>
  <si>
    <t>+974 4840 2049</t>
  </si>
  <si>
    <t>accounts@middleeasttravelwll.com</t>
  </si>
  <si>
    <t>CUST-1024</t>
  </si>
  <si>
    <t>International Services LLC</t>
  </si>
  <si>
    <t>+974 4804 1117</t>
  </si>
  <si>
    <t>accounts@internationalservicesllc.com</t>
  </si>
  <si>
    <t>Invoice Number</t>
  </si>
  <si>
    <t>Invoice Date</t>
  </si>
  <si>
    <t>Due Date</t>
  </si>
  <si>
    <t>Invoice Amount (QAR)</t>
  </si>
  <si>
    <t>Paid Amount (QAR)</t>
  </si>
  <si>
    <t>Outstanding Amount (QAR)</t>
  </si>
  <si>
    <t>Aging Bucket</t>
  </si>
  <si>
    <t>Days Overdue</t>
  </si>
  <si>
    <t>Status</t>
  </si>
  <si>
    <t>Product/Service</t>
  </si>
  <si>
    <t>LPO Number</t>
  </si>
  <si>
    <t>INV-1001</t>
  </si>
  <si>
    <t>Current (0-30)</t>
  </si>
  <si>
    <t>Partial</t>
  </si>
  <si>
    <t>Catering Service</t>
  </si>
  <si>
    <t>LPO-5135</t>
  </si>
  <si>
    <t>INV-1002</t>
  </si>
  <si>
    <t>61-90 days</t>
  </si>
  <si>
    <t>Maintenance Service</t>
  </si>
  <si>
    <t>INV-1003</t>
  </si>
  <si>
    <t>Paid</t>
  </si>
  <si>
    <t>Flight Tickets</t>
  </si>
  <si>
    <t>LPO-5661</t>
  </si>
  <si>
    <t>INV-1004</t>
  </si>
  <si>
    <t>Baggage Fees</t>
  </si>
  <si>
    <t>INV-1005</t>
  </si>
  <si>
    <t>Unpaid</t>
  </si>
  <si>
    <t>LPO-5077</t>
  </si>
  <si>
    <t>INV-1006</t>
  </si>
  <si>
    <t>LPO-5948</t>
  </si>
  <si>
    <t>INV-1007</t>
  </si>
  <si>
    <t>LPO-5885</t>
  </si>
  <si>
    <t>INV-1008</t>
  </si>
  <si>
    <t>LPO-5271</t>
  </si>
  <si>
    <t>INV-1009</t>
  </si>
  <si>
    <t>INV-1010</t>
  </si>
  <si>
    <t>LPO-5058</t>
  </si>
  <si>
    <t>INV-1011</t>
  </si>
  <si>
    <t>Cargo Service</t>
  </si>
  <si>
    <t>LPO-5070</t>
  </si>
  <si>
    <t>INV-1012</t>
  </si>
  <si>
    <t>LPO-5040</t>
  </si>
  <si>
    <t>INV-1013</t>
  </si>
  <si>
    <t>Charter Service</t>
  </si>
  <si>
    <t>LPO-5733</t>
  </si>
  <si>
    <t>INV-1014</t>
  </si>
  <si>
    <t>LPO-5951</t>
  </si>
  <si>
    <t>INV-1015</t>
  </si>
  <si>
    <t>31-60 days</t>
  </si>
  <si>
    <t>INV-1016</t>
  </si>
  <si>
    <t>Aviation Fuel</t>
  </si>
  <si>
    <t>LPO-5900</t>
  </si>
  <si>
    <t>INV-1017</t>
  </si>
  <si>
    <t>LPO-5826</t>
  </si>
  <si>
    <t>INV-1018</t>
  </si>
  <si>
    <t>LPO-5137</t>
  </si>
  <si>
    <t>INV-1019</t>
  </si>
  <si>
    <t>LPO-5208</t>
  </si>
  <si>
    <t>INV-1020</t>
  </si>
  <si>
    <t>LPO-5929</t>
  </si>
  <si>
    <t>INV-1021</t>
  </si>
  <si>
    <t>LPO-5652</t>
  </si>
  <si>
    <t>INV-1022</t>
  </si>
  <si>
    <t>INV-1023</t>
  </si>
  <si>
    <t>LPO-5596</t>
  </si>
  <si>
    <t>INV-1024</t>
  </si>
  <si>
    <t>LPO-5815</t>
  </si>
  <si>
    <t>INV-1025</t>
  </si>
  <si>
    <t>LPO-5905</t>
  </si>
  <si>
    <t>INV-1026</t>
  </si>
  <si>
    <t>VIP Lounge</t>
  </si>
  <si>
    <t>LPO-5830</t>
  </si>
  <si>
    <t>INV-1027</t>
  </si>
  <si>
    <t>LPO-5421</t>
  </si>
  <si>
    <t>INV-1028</t>
  </si>
  <si>
    <t>LPO-5039</t>
  </si>
  <si>
    <t>INV-1029</t>
  </si>
  <si>
    <t>LPO-5840</t>
  </si>
  <si>
    <t>INV-1030</t>
  </si>
  <si>
    <t>LPO-5285</t>
  </si>
  <si>
    <t>INV-1031</t>
  </si>
  <si>
    <t>LPO-5118</t>
  </si>
  <si>
    <t>INV-1032</t>
  </si>
  <si>
    <t>INV-1033</t>
  </si>
  <si>
    <t>LPO-5590</t>
  </si>
  <si>
    <t>INV-1034</t>
  </si>
  <si>
    <t>LPO-5071</t>
  </si>
  <si>
    <t>INV-1035</t>
  </si>
  <si>
    <t>LPO-5682</t>
  </si>
  <si>
    <t>INV-1036</t>
  </si>
  <si>
    <t>LPO-5924</t>
  </si>
  <si>
    <t>INV-1037</t>
  </si>
  <si>
    <t>LPO-5804</t>
  </si>
  <si>
    <t>INV-1038</t>
  </si>
  <si>
    <t>LPO-5982</t>
  </si>
  <si>
    <t>INV-1039</t>
  </si>
  <si>
    <t>INV-1040</t>
  </si>
  <si>
    <t>LPO-5486</t>
  </si>
  <si>
    <t>INV-1041</t>
  </si>
  <si>
    <t>LPO-5589</t>
  </si>
  <si>
    <t>INV-1042</t>
  </si>
  <si>
    <t>LPO-5881</t>
  </si>
  <si>
    <t>INV-1043</t>
  </si>
  <si>
    <t>INV-1044</t>
  </si>
  <si>
    <t>LPO-5683</t>
  </si>
  <si>
    <t>INV-1045</t>
  </si>
  <si>
    <t>LPO-5561</t>
  </si>
  <si>
    <t>INV-1046</t>
  </si>
  <si>
    <t>LPO-5283</t>
  </si>
  <si>
    <t>INV-1047</t>
  </si>
  <si>
    <t>90+ days</t>
  </si>
  <si>
    <t>LPO-5343</t>
  </si>
  <si>
    <t>INV-1048</t>
  </si>
  <si>
    <t>LPO-5710</t>
  </si>
  <si>
    <t>INV-1049</t>
  </si>
  <si>
    <t>LPO-5477</t>
  </si>
  <si>
    <t>INV-1050</t>
  </si>
  <si>
    <t>LPO-5783</t>
  </si>
  <si>
    <t>INV-1051</t>
  </si>
  <si>
    <t>LPO-5399</t>
  </si>
  <si>
    <t>INV-1052</t>
  </si>
  <si>
    <t>LPO-5497</t>
  </si>
  <si>
    <t>INV-1053</t>
  </si>
  <si>
    <t>LPO-5637</t>
  </si>
  <si>
    <t>INV-1054</t>
  </si>
  <si>
    <t>INV-1055</t>
  </si>
  <si>
    <t>LPO-5334</t>
  </si>
  <si>
    <t>INV-1056</t>
  </si>
  <si>
    <t>LPO-5481</t>
  </si>
  <si>
    <t>INV-1057</t>
  </si>
  <si>
    <t>INV-1058</t>
  </si>
  <si>
    <t>LPO-5484</t>
  </si>
  <si>
    <t>INV-1059</t>
  </si>
  <si>
    <t>INV-1060</t>
  </si>
  <si>
    <t>INV-1061</t>
  </si>
  <si>
    <t>INV-1062</t>
  </si>
  <si>
    <t>LPO-5614</t>
  </si>
  <si>
    <t>INV-1063</t>
  </si>
  <si>
    <t>INV-1064</t>
  </si>
  <si>
    <t>LPO-5108</t>
  </si>
  <si>
    <t>INV-1065</t>
  </si>
  <si>
    <t>INV-1066</t>
  </si>
  <si>
    <t>LPO-5606</t>
  </si>
  <si>
    <t>INV-1067</t>
  </si>
  <si>
    <t>LPO-5461</t>
  </si>
  <si>
    <t>INV-1068</t>
  </si>
  <si>
    <t>LPO-5186</t>
  </si>
  <si>
    <t>INV-1069</t>
  </si>
  <si>
    <t>LPO-5529</t>
  </si>
  <si>
    <t>INV-1070</t>
  </si>
  <si>
    <t>LPO-5502</t>
  </si>
  <si>
    <t>INV-1071</t>
  </si>
  <si>
    <t>LPO-5249</t>
  </si>
  <si>
    <t>INV-1072</t>
  </si>
  <si>
    <t>LPO-5464</t>
  </si>
  <si>
    <t>INV-1073</t>
  </si>
  <si>
    <t>LPO-5760</t>
  </si>
  <si>
    <t>INV-1074</t>
  </si>
  <si>
    <t>LPO-5778</t>
  </si>
  <si>
    <t>INV-1075</t>
  </si>
  <si>
    <t>INV-1076</t>
  </si>
  <si>
    <t>LPO-5566</t>
  </si>
  <si>
    <t>INV-1077</t>
  </si>
  <si>
    <t>INV-1078</t>
  </si>
  <si>
    <t>LPO-5489</t>
  </si>
  <si>
    <t>INV-1079</t>
  </si>
  <si>
    <t>INV-1080</t>
  </si>
  <si>
    <t>LPO-5809</t>
  </si>
  <si>
    <t>INV-1081</t>
  </si>
  <si>
    <t>LPO-5635</t>
  </si>
  <si>
    <t>INV-1082</t>
  </si>
  <si>
    <t>LPO-5083</t>
  </si>
  <si>
    <t>INV-1083</t>
  </si>
  <si>
    <t>LPO-5237</t>
  </si>
  <si>
    <t>INV-1084</t>
  </si>
  <si>
    <t>LPO-5640</t>
  </si>
  <si>
    <t>INV-1085</t>
  </si>
  <si>
    <t>LPO-5846</t>
  </si>
  <si>
    <t>INV-1086</t>
  </si>
  <si>
    <t>LPO-5844</t>
  </si>
  <si>
    <t>INV-1087</t>
  </si>
  <si>
    <t>LPO-5512</t>
  </si>
  <si>
    <t>INV-1088</t>
  </si>
  <si>
    <t>INV-1089</t>
  </si>
  <si>
    <t>LPO-5781</t>
  </si>
  <si>
    <t>INV-1090</t>
  </si>
  <si>
    <t>LPO-5503</t>
  </si>
  <si>
    <t>INV-1091</t>
  </si>
  <si>
    <t>INV-1092</t>
  </si>
  <si>
    <t>INV-1093</t>
  </si>
  <si>
    <t>LPO-5555</t>
  </si>
  <si>
    <t>INV-1094</t>
  </si>
  <si>
    <t>LPO-5510</t>
  </si>
  <si>
    <t>INV-1095</t>
  </si>
  <si>
    <t>LPO-5448</t>
  </si>
  <si>
    <t>INV-1096</t>
  </si>
  <si>
    <t>LPO-5318</t>
  </si>
  <si>
    <t>INV-1097</t>
  </si>
  <si>
    <t>LPO-5120</t>
  </si>
  <si>
    <t>INV-1098</t>
  </si>
  <si>
    <t>LPO-5494</t>
  </si>
  <si>
    <t>INV-1099</t>
  </si>
  <si>
    <t>LPO-5282</t>
  </si>
  <si>
    <t>INV-1100</t>
  </si>
  <si>
    <t>LPO-5305</t>
  </si>
  <si>
    <t>INV-1101</t>
  </si>
  <si>
    <t>LPO-5565</t>
  </si>
  <si>
    <t>INV-1102</t>
  </si>
  <si>
    <t>LPO-5239</t>
  </si>
  <si>
    <t>INV-1103</t>
  </si>
  <si>
    <t>LPO-5037</t>
  </si>
  <si>
    <t>INV-1104</t>
  </si>
  <si>
    <t>INV-1105</t>
  </si>
  <si>
    <t>INV-1106</t>
  </si>
  <si>
    <t>LPO-5879</t>
  </si>
  <si>
    <t>INV-1107</t>
  </si>
  <si>
    <t>LPO-5240</t>
  </si>
  <si>
    <t>INV-1108</t>
  </si>
  <si>
    <t>LPO-5444</t>
  </si>
  <si>
    <t>INV-1109</t>
  </si>
  <si>
    <t>INV-1110</t>
  </si>
  <si>
    <t>LPO-5811</t>
  </si>
  <si>
    <t>INV-1111</t>
  </si>
  <si>
    <t>LPO-5246</t>
  </si>
  <si>
    <t>INV-1112</t>
  </si>
  <si>
    <t>INV-1113</t>
  </si>
  <si>
    <t>LPO-5353</t>
  </si>
  <si>
    <t>INV-1114</t>
  </si>
  <si>
    <t>INV-1115</t>
  </si>
  <si>
    <t>LPO-5588</t>
  </si>
  <si>
    <t>INV-1116</t>
  </si>
  <si>
    <t>LPO-5579</t>
  </si>
  <si>
    <t>INV-1117</t>
  </si>
  <si>
    <t>INV-1118</t>
  </si>
  <si>
    <t>LPO-5738</t>
  </si>
  <si>
    <t>INV-1119</t>
  </si>
  <si>
    <t>LPO-5451</t>
  </si>
  <si>
    <t>INV-1120</t>
  </si>
  <si>
    <t>INV-1121</t>
  </si>
  <si>
    <t>LPO-5263</t>
  </si>
  <si>
    <t>INV-1122</t>
  </si>
  <si>
    <t>LPO-5479</t>
  </si>
  <si>
    <t>INV-1123</t>
  </si>
  <si>
    <t>LPO-5823</t>
  </si>
  <si>
    <t>INV-1124</t>
  </si>
  <si>
    <t>LPO-5766</t>
  </si>
  <si>
    <t>INV-1125</t>
  </si>
  <si>
    <t>LPO-5634</t>
  </si>
  <si>
    <t>INV-1126</t>
  </si>
  <si>
    <t>LPO-5475</t>
  </si>
  <si>
    <t>INV-1127</t>
  </si>
  <si>
    <t>LPO-5504</t>
  </si>
  <si>
    <t>INV-1128</t>
  </si>
  <si>
    <t>LPO-5744</t>
  </si>
  <si>
    <t>INV-1129</t>
  </si>
  <si>
    <t>INV-1130</t>
  </si>
  <si>
    <t>LPO-5660</t>
  </si>
  <si>
    <t>INV-1131</t>
  </si>
  <si>
    <t>LPO-5843</t>
  </si>
  <si>
    <t>INV-1132</t>
  </si>
  <si>
    <t>INV-1133</t>
  </si>
  <si>
    <t>LPO-5832</t>
  </si>
  <si>
    <t>INV-1134</t>
  </si>
  <si>
    <t>LPO-5148</t>
  </si>
  <si>
    <t>INV-1135</t>
  </si>
  <si>
    <t>INV-1136</t>
  </si>
  <si>
    <t>LPO-5538</t>
  </si>
  <si>
    <t>INV-1137</t>
  </si>
  <si>
    <t>LPO-5226</t>
  </si>
  <si>
    <t>Total Outstanding</t>
  </si>
  <si>
    <t>Statement Date</t>
  </si>
  <si>
    <t>Total Outstanding (QAR)</t>
  </si>
  <si>
    <t>Current Balance (QAR)</t>
  </si>
  <si>
    <t>31-60 Days (QAR)</t>
  </si>
  <si>
    <t>61-90 Days (QAR)</t>
  </si>
  <si>
    <t>90+ Days (QAR)</t>
  </si>
  <si>
    <t>Last Payment Date</t>
  </si>
  <si>
    <t>Last Payment Amount</t>
  </si>
  <si>
    <t>Follow-up Required</t>
  </si>
  <si>
    <t>Priority</t>
  </si>
  <si>
    <t>Yes</t>
  </si>
  <si>
    <t>Medium</t>
  </si>
  <si>
    <t>High</t>
  </si>
  <si>
    <t>Low</t>
  </si>
  <si>
    <t>No</t>
  </si>
  <si>
    <t>Transaction ID</t>
  </si>
  <si>
    <t>Payment Date</t>
  </si>
  <si>
    <t>Payment Amount (QAR)</t>
  </si>
  <si>
    <t>Payment Method</t>
  </si>
  <si>
    <t>Reference Number</t>
  </si>
  <si>
    <t>Bank</t>
  </si>
  <si>
    <t>TRN-5001</t>
  </si>
  <si>
    <t>Cash</t>
  </si>
  <si>
    <t>REF-70036</t>
  </si>
  <si>
    <t>QNB</t>
  </si>
  <si>
    <t>Cleared</t>
  </si>
  <si>
    <t>TRN-5002</t>
  </si>
  <si>
    <t>Credit Card</t>
  </si>
  <si>
    <t>REF-65872</t>
  </si>
  <si>
    <t>TRN-5003</t>
  </si>
  <si>
    <t>REF-89730</t>
  </si>
  <si>
    <t>CBQ</t>
  </si>
  <si>
    <t>TRN-5004</t>
  </si>
  <si>
    <t>REF-59925</t>
  </si>
  <si>
    <t>Doha Bank</t>
  </si>
  <si>
    <t>TRN-5005</t>
  </si>
  <si>
    <t>REF-22999</t>
  </si>
  <si>
    <t>Returned</t>
  </si>
  <si>
    <t>TRN-5006</t>
  </si>
  <si>
    <t>REF-39949</t>
  </si>
  <si>
    <t>HSBC</t>
  </si>
  <si>
    <t>TRN-5007</t>
  </si>
  <si>
    <t>REF-64524</t>
  </si>
  <si>
    <t>TRN-5008</t>
  </si>
  <si>
    <t>REF-30006</t>
  </si>
  <si>
    <t>TRN-5009</t>
  </si>
  <si>
    <t>Bank Transfer</t>
  </si>
  <si>
    <t>REF-22219</t>
  </si>
  <si>
    <t>TRN-5010</t>
  </si>
  <si>
    <t>REF-97819</t>
  </si>
  <si>
    <t>TRN-5011</t>
  </si>
  <si>
    <t>REF-16743</t>
  </si>
  <si>
    <t>QIB</t>
  </si>
  <si>
    <t>TRN-5012</t>
  </si>
  <si>
    <t>Cheque</t>
  </si>
  <si>
    <t>REF-30280</t>
  </si>
  <si>
    <t>TRN-5013</t>
  </si>
  <si>
    <t>REF-25058</t>
  </si>
  <si>
    <t>TRN-5014</t>
  </si>
  <si>
    <t>REF-83526</t>
  </si>
  <si>
    <t>TRN-5015</t>
  </si>
  <si>
    <t>REF-13794</t>
  </si>
  <si>
    <t>TRN-5016</t>
  </si>
  <si>
    <t>REF-54541</t>
  </si>
  <si>
    <t>TRN-5017</t>
  </si>
  <si>
    <t>REF-92991</t>
  </si>
  <si>
    <t>TRN-5018</t>
  </si>
  <si>
    <t>REF-59308</t>
  </si>
  <si>
    <t>TRN-5019</t>
  </si>
  <si>
    <t>REF-50846</t>
  </si>
  <si>
    <t>TRN-5020</t>
  </si>
  <si>
    <t>REF-30392</t>
  </si>
  <si>
    <t>TRN-5021</t>
  </si>
  <si>
    <t>REF-45665</t>
  </si>
  <si>
    <t>TRN-5022</t>
  </si>
  <si>
    <t>REF-45804</t>
  </si>
  <si>
    <t>TRN-5023</t>
  </si>
  <si>
    <t>REF-66349</t>
  </si>
  <si>
    <t>TRN-5024</t>
  </si>
  <si>
    <t>REF-15952</t>
  </si>
  <si>
    <t>TRN-5025</t>
  </si>
  <si>
    <t>REF-11007</t>
  </si>
  <si>
    <t>TRN-5026</t>
  </si>
  <si>
    <t>REF-43491</t>
  </si>
  <si>
    <t>TRN-5027</t>
  </si>
  <si>
    <t>REF-66446</t>
  </si>
  <si>
    <t>TRN-5028</t>
  </si>
  <si>
    <t>REF-19447</t>
  </si>
  <si>
    <t>TRN-5029</t>
  </si>
  <si>
    <t>REF-70260</t>
  </si>
  <si>
    <t>TRN-5030</t>
  </si>
  <si>
    <t>REF-93904</t>
  </si>
  <si>
    <t>TRN-5031</t>
  </si>
  <si>
    <t>REF-32527</t>
  </si>
  <si>
    <t>TRN-5032</t>
  </si>
  <si>
    <t>REF-23875</t>
  </si>
  <si>
    <t>TRN-5033</t>
  </si>
  <si>
    <t>REF-61873</t>
  </si>
  <si>
    <t>TRN-5034</t>
  </si>
  <si>
    <t>REF-32037</t>
  </si>
  <si>
    <t>TRN-5035</t>
  </si>
  <si>
    <t>REF-55793</t>
  </si>
  <si>
    <t>TRN-5036</t>
  </si>
  <si>
    <t>REF-29194</t>
  </si>
  <si>
    <t>TRN-5037</t>
  </si>
  <si>
    <t>REF-95918</t>
  </si>
  <si>
    <t>TRN-5038</t>
  </si>
  <si>
    <t>REF-99277</t>
  </si>
  <si>
    <t>TRN-5039</t>
  </si>
  <si>
    <t>REF-92210</t>
  </si>
  <si>
    <t>TRN-5040</t>
  </si>
  <si>
    <t>REF-67961</t>
  </si>
  <si>
    <t>TRN-5041</t>
  </si>
  <si>
    <t>REF-50685</t>
  </si>
  <si>
    <t>TRN-5042</t>
  </si>
  <si>
    <t>REF-47627</t>
  </si>
  <si>
    <t>TRN-5043</t>
  </si>
  <si>
    <t>REF-90610</t>
  </si>
  <si>
    <t>TRN-5044</t>
  </si>
  <si>
    <t>REF-68947</t>
  </si>
  <si>
    <t>TRN-5045</t>
  </si>
  <si>
    <t>REF-75715</t>
  </si>
  <si>
    <t>Pending Clearance</t>
  </si>
  <si>
    <t>TRN-5046</t>
  </si>
  <si>
    <t>REF-21053</t>
  </si>
  <si>
    <t>TRN-5047</t>
  </si>
  <si>
    <t>REF-78690</t>
  </si>
  <si>
    <t>TRN-5048</t>
  </si>
  <si>
    <t>REF-63578</t>
  </si>
  <si>
    <t>TRN-5049</t>
  </si>
  <si>
    <t>REF-18639</t>
  </si>
  <si>
    <t>TRN-5050</t>
  </si>
  <si>
    <t>REF-53694</t>
  </si>
  <si>
    <t>TRN-5051</t>
  </si>
  <si>
    <t>REF-50662</t>
  </si>
  <si>
    <t>TRN-5052</t>
  </si>
  <si>
    <t>REF-50577</t>
  </si>
  <si>
    <t>TRN-5053</t>
  </si>
  <si>
    <t>REF-94675</t>
  </si>
  <si>
    <t>TRN-5054</t>
  </si>
  <si>
    <t>REF-50483</t>
  </si>
  <si>
    <t>TRN-5055</t>
  </si>
  <si>
    <t>REF-28030</t>
  </si>
  <si>
    <t>TRN-5056</t>
  </si>
  <si>
    <t>REF-76543</t>
  </si>
  <si>
    <t>TRN-5057</t>
  </si>
  <si>
    <t>REF-91006</t>
  </si>
  <si>
    <t>TRN-5058</t>
  </si>
  <si>
    <t>REF-33703</t>
  </si>
  <si>
    <t>TRN-5059</t>
  </si>
  <si>
    <t>REF-68222</t>
  </si>
  <si>
    <t>TRN-5060</t>
  </si>
  <si>
    <t>REF-40671</t>
  </si>
  <si>
    <t>TRN-5061</t>
  </si>
  <si>
    <t>REF-58213</t>
  </si>
  <si>
    <t>TRN-5062</t>
  </si>
  <si>
    <t>REF-75916</t>
  </si>
  <si>
    <t>TRN-5063</t>
  </si>
  <si>
    <t>REF-89254</t>
  </si>
  <si>
    <t>TRN-5064</t>
  </si>
  <si>
    <t>REF-77621</t>
  </si>
  <si>
    <t>TRN-5065</t>
  </si>
  <si>
    <t>REF-68893</t>
  </si>
  <si>
    <t>TRN-5066</t>
  </si>
  <si>
    <t>REF-69130</t>
  </si>
  <si>
    <t>TRN-5067</t>
  </si>
  <si>
    <t>REF-60615</t>
  </si>
  <si>
    <t>TRN-5068</t>
  </si>
  <si>
    <t>REF-29142</t>
  </si>
  <si>
    <t>TRN-5069</t>
  </si>
  <si>
    <t>REF-71487</t>
  </si>
  <si>
    <t>TRN-5070</t>
  </si>
  <si>
    <t>REF-43544</t>
  </si>
  <si>
    <t>TRN-5071</t>
  </si>
  <si>
    <t>REF-24573</t>
  </si>
  <si>
    <t>TRN-5072</t>
  </si>
  <si>
    <t>REF-93748</t>
  </si>
  <si>
    <t>TRN-5073</t>
  </si>
  <si>
    <t>REF-88215</t>
  </si>
  <si>
    <t>TRN-5074</t>
  </si>
  <si>
    <t>REF-28818</t>
  </si>
  <si>
    <t>TRN-5075</t>
  </si>
  <si>
    <t>REF-34551</t>
  </si>
  <si>
    <t>TRN-5076</t>
  </si>
  <si>
    <t>REF-78951</t>
  </si>
  <si>
    <t>TRN-5077</t>
  </si>
  <si>
    <t>REF-15706</t>
  </si>
  <si>
    <t>TRN-5078</t>
  </si>
  <si>
    <t>REF-56805</t>
  </si>
  <si>
    <t>TRN-5079</t>
  </si>
  <si>
    <t>REF-27486</t>
  </si>
  <si>
    <t>TRN-5080</t>
  </si>
  <si>
    <t>REF-99742</t>
  </si>
  <si>
    <t>TRN-5081</t>
  </si>
  <si>
    <t>REF-14847</t>
  </si>
  <si>
    <t>TRN-5082</t>
  </si>
  <si>
    <t>REF-51365</t>
  </si>
  <si>
    <t>TRN-5083</t>
  </si>
  <si>
    <t>REF-43202</t>
  </si>
  <si>
    <t>TRN-5084</t>
  </si>
  <si>
    <t>REF-95948</t>
  </si>
  <si>
    <t>TRN-5085</t>
  </si>
  <si>
    <t>REF-67637</t>
  </si>
  <si>
    <t>TRN-5086</t>
  </si>
  <si>
    <t>REF-75211</t>
  </si>
  <si>
    <t>TRN-5087</t>
  </si>
  <si>
    <t>REF-65640</t>
  </si>
  <si>
    <t>TRN-5088</t>
  </si>
  <si>
    <t>REF-52101</t>
  </si>
  <si>
    <t>TRN-5089</t>
  </si>
  <si>
    <t>REF-50173</t>
  </si>
  <si>
    <t>TRN-5090</t>
  </si>
  <si>
    <t>REF-56077</t>
  </si>
  <si>
    <t>TRN-5091</t>
  </si>
  <si>
    <t>REF-45986</t>
  </si>
  <si>
    <t>TRN-5092</t>
  </si>
  <si>
    <t>REF-57619</t>
  </si>
  <si>
    <t>TRN-5093</t>
  </si>
  <si>
    <t>REF-28714</t>
  </si>
  <si>
    <t>TRN-5094</t>
  </si>
  <si>
    <t>REF-40932</t>
  </si>
  <si>
    <t>TRN-5095</t>
  </si>
  <si>
    <t>REF-99006</t>
  </si>
  <si>
    <t>TRN-5096</t>
  </si>
  <si>
    <t>REF-85225</t>
  </si>
  <si>
    <t>TRN-5097</t>
  </si>
  <si>
    <t>REF-42717</t>
  </si>
  <si>
    <t>TRN-5098</t>
  </si>
  <si>
    <t>REF-44311</t>
  </si>
  <si>
    <t>TRN-5099</t>
  </si>
  <si>
    <t>REF-74382</t>
  </si>
  <si>
    <t>TRN-5100</t>
  </si>
  <si>
    <t>REF-21506</t>
  </si>
  <si>
    <t>TRN-5101</t>
  </si>
  <si>
    <t>REF-49315</t>
  </si>
  <si>
    <t>TRN-5102</t>
  </si>
  <si>
    <t>REF-57381</t>
  </si>
  <si>
    <t>TRN-5103</t>
  </si>
  <si>
    <t>REF-13445</t>
  </si>
  <si>
    <t>TRN-5104</t>
  </si>
  <si>
    <t>REF-90209</t>
  </si>
  <si>
    <t>TRN-5105</t>
  </si>
  <si>
    <t>REF-78903</t>
  </si>
  <si>
    <t>TRN-5106</t>
  </si>
  <si>
    <t>REF-94192</t>
  </si>
  <si>
    <t>TRN-5107</t>
  </si>
  <si>
    <t>REF-26821</t>
  </si>
  <si>
    <t>TRN-5108</t>
  </si>
  <si>
    <t>REF-66704</t>
  </si>
  <si>
    <t>TRN-5109</t>
  </si>
  <si>
    <t>REF-31229</t>
  </si>
  <si>
    <t>TRN-5110</t>
  </si>
  <si>
    <t>REF-20336</t>
  </si>
  <si>
    <t>TRN-5111</t>
  </si>
  <si>
    <t>REF-26406</t>
  </si>
  <si>
    <t>TRN-5112</t>
  </si>
  <si>
    <t>REF-87569</t>
  </si>
  <si>
    <t>TRN-5113</t>
  </si>
  <si>
    <t>REF-13718</t>
  </si>
  <si>
    <t>TRN-5114</t>
  </si>
  <si>
    <t>REF-95344</t>
  </si>
  <si>
    <t>TRN-5115</t>
  </si>
  <si>
    <t>REF-75278</t>
  </si>
  <si>
    <t>TRN-5116</t>
  </si>
  <si>
    <t>REF-48985</t>
  </si>
  <si>
    <t>TRN-5117</t>
  </si>
  <si>
    <t>REF-67619</t>
  </si>
  <si>
    <t>TRN-5118</t>
  </si>
  <si>
    <t>REF-89516</t>
  </si>
  <si>
    <t>TRN-5119</t>
  </si>
  <si>
    <t>REF-58567</t>
  </si>
  <si>
    <t>TRN-5120</t>
  </si>
  <si>
    <t>REF-71141</t>
  </si>
  <si>
    <t>TRN-5121</t>
  </si>
  <si>
    <t>REF-22689</t>
  </si>
  <si>
    <t>TRN-5122</t>
  </si>
  <si>
    <t>REF-42541</t>
  </si>
  <si>
    <t>TRN-5123</t>
  </si>
  <si>
    <t>REF-75308</t>
  </si>
  <si>
    <t>TRN-5124</t>
  </si>
  <si>
    <t>REF-13037</t>
  </si>
  <si>
    <t>TRN-5125</t>
  </si>
  <si>
    <t>REF-86460</t>
  </si>
  <si>
    <t>TRN-5126</t>
  </si>
  <si>
    <t>REF-47453</t>
  </si>
  <si>
    <t>TRN-5127</t>
  </si>
  <si>
    <t>REF-57943</t>
  </si>
  <si>
    <t>TRN-5128</t>
  </si>
  <si>
    <t>REF-57516</t>
  </si>
  <si>
    <t>TRN-5129</t>
  </si>
  <si>
    <t>REF-91689</t>
  </si>
  <si>
    <t>TRN-5130</t>
  </si>
  <si>
    <t>REF-83116</t>
  </si>
  <si>
    <t>TRN-5131</t>
  </si>
  <si>
    <t>REF-75546</t>
  </si>
  <si>
    <t>TRN-5132</t>
  </si>
  <si>
    <t>REF-72094</t>
  </si>
  <si>
    <t>TRN-5133</t>
  </si>
  <si>
    <t>REF-31299</t>
  </si>
  <si>
    <t>TRN-5134</t>
  </si>
  <si>
    <t>REF-76494</t>
  </si>
  <si>
    <t>TRN-5135</t>
  </si>
  <si>
    <t>REF-58281</t>
  </si>
  <si>
    <t>TRN-5136</t>
  </si>
  <si>
    <t>REF-92478</t>
  </si>
  <si>
    <t>TRN-5137</t>
  </si>
  <si>
    <t>REF-16731</t>
  </si>
  <si>
    <t>TRN-5138</t>
  </si>
  <si>
    <t>REF-29369</t>
  </si>
  <si>
    <t>TRN-5139</t>
  </si>
  <si>
    <t>REF-67807</t>
  </si>
  <si>
    <t>TRN-5140</t>
  </si>
  <si>
    <t>REF-63788</t>
  </si>
  <si>
    <t>TRN-5141</t>
  </si>
  <si>
    <t>REF-83516</t>
  </si>
  <si>
    <t>TRN-5142</t>
  </si>
  <si>
    <t>REF-32699</t>
  </si>
  <si>
    <t>TRN-5143</t>
  </si>
  <si>
    <t>REF-42311</t>
  </si>
  <si>
    <t>TRN-5144</t>
  </si>
  <si>
    <t>REF-47880</t>
  </si>
  <si>
    <t>TRN-5145</t>
  </si>
  <si>
    <t>REF-55718</t>
  </si>
  <si>
    <t>TRN-5146</t>
  </si>
  <si>
    <t>REF-61712</t>
  </si>
  <si>
    <t>TRN-5147</t>
  </si>
  <si>
    <t>REF-55398</t>
  </si>
  <si>
    <t>TRN-5148</t>
  </si>
  <si>
    <t>REF-83664</t>
  </si>
  <si>
    <t>TRN-5149</t>
  </si>
  <si>
    <t>REF-41779</t>
  </si>
  <si>
    <t>TRN-5150</t>
  </si>
  <si>
    <t>REF-64172</t>
  </si>
  <si>
    <t>TRN-5151</t>
  </si>
  <si>
    <t>REF-10679</t>
  </si>
  <si>
    <t>TRN-5152</t>
  </si>
  <si>
    <t>REF-72580</t>
  </si>
  <si>
    <t>TRN-5153</t>
  </si>
  <si>
    <t>REF-21725</t>
  </si>
  <si>
    <t>TRN-5154</t>
  </si>
  <si>
    <t>REF-32946</t>
  </si>
  <si>
    <t>TRN-5155</t>
  </si>
  <si>
    <t>REF-74930</t>
  </si>
  <si>
    <t>TRN-5156</t>
  </si>
  <si>
    <t>REF-11214</t>
  </si>
  <si>
    <t>TRN-5157</t>
  </si>
  <si>
    <t>REF-47298</t>
  </si>
  <si>
    <t>TRN-5158</t>
  </si>
  <si>
    <t>REF-45761</t>
  </si>
  <si>
    <t>TRN-5159</t>
  </si>
  <si>
    <t>REF-94972</t>
  </si>
  <si>
    <t>TRN-5160</t>
  </si>
  <si>
    <t>REF-84420</t>
  </si>
  <si>
    <t>Follow-up ID</t>
  </si>
  <si>
    <t>Follow-up Date</t>
  </si>
  <si>
    <t>Contact Method</t>
  </si>
  <si>
    <t>Discussion Summary</t>
  </si>
  <si>
    <t>Next Action</t>
  </si>
  <si>
    <t>Responsible Person</t>
  </si>
  <si>
    <t>Next Follow-up Date</t>
  </si>
  <si>
    <t>FUP-101</t>
  </si>
  <si>
    <t>Visit</t>
  </si>
  <si>
    <t>Owner</t>
  </si>
  <si>
    <t>Promised payment by end of month</t>
  </si>
  <si>
    <t>Escalate to senior management</t>
  </si>
  <si>
    <t>Collection Officer</t>
  </si>
  <si>
    <t>Completed</t>
  </si>
  <si>
    <t>FUP-102</t>
  </si>
  <si>
    <t>Requested copy of all invoices</t>
  </si>
  <si>
    <t>Follow up in 3 days</t>
  </si>
  <si>
    <t>Finance Assistant</t>
  </si>
  <si>
    <t>Escalated</t>
  </si>
  <si>
    <t>FUP-103</t>
  </si>
  <si>
    <t>Official Letter</t>
  </si>
  <si>
    <t>Disputed amount - need clarification</t>
  </si>
  <si>
    <t>Wait for bank confirmation</t>
  </si>
  <si>
    <t>FUP-104</t>
  </si>
  <si>
    <t>Finance Director</t>
  </si>
  <si>
    <t>Send reminder email</t>
  </si>
  <si>
    <t>AR Specialist</t>
  </si>
  <si>
    <t>FUP-105</t>
  </si>
  <si>
    <t>Accounts Manager</t>
  </si>
  <si>
    <t>Schedule meeting with manager</t>
  </si>
  <si>
    <t>Pending</t>
  </si>
  <si>
    <t>FUP-106</t>
  </si>
  <si>
    <t>Payment processing delayed</t>
  </si>
  <si>
    <t>In Progress</t>
  </si>
  <si>
    <t>FUP-107</t>
  </si>
  <si>
    <t>FUP-108</t>
  </si>
  <si>
    <t>Phone Call</t>
  </si>
  <si>
    <t>FUP-109</t>
  </si>
  <si>
    <t>FUP-110</t>
  </si>
  <si>
    <t>Send statement copy</t>
  </si>
  <si>
    <t>FUP-111</t>
  </si>
  <si>
    <t>Reminder sent for upcoming payment</t>
  </si>
  <si>
    <t>FUP-112</t>
  </si>
  <si>
    <t>FUP-113</t>
  </si>
  <si>
    <t>Procurement Manager</t>
  </si>
  <si>
    <t>FUP-114</t>
  </si>
  <si>
    <t>FUP-115</t>
  </si>
  <si>
    <t>FUP-116</t>
  </si>
  <si>
    <t>FUP-117</t>
  </si>
  <si>
    <t>FUP-118</t>
  </si>
  <si>
    <t>FUP-119</t>
  </si>
  <si>
    <t>FUP-120</t>
  </si>
  <si>
    <t>Payment plan negotiated</t>
  </si>
  <si>
    <t>FUP-121</t>
  </si>
  <si>
    <t>FUP-122</t>
  </si>
  <si>
    <t>Bank transfer in process</t>
  </si>
  <si>
    <t>FUP-123</t>
  </si>
  <si>
    <t>FUP-124</t>
  </si>
  <si>
    <t>Confirmed receipt of invoice</t>
  </si>
  <si>
    <t>FUP-125</t>
  </si>
  <si>
    <t>Final demand notice sent</t>
  </si>
  <si>
    <t>FUP-126</t>
  </si>
  <si>
    <t>Awaiting approval from finance manager</t>
  </si>
  <si>
    <t>FUP-127</t>
  </si>
  <si>
    <t>FUP-128</t>
  </si>
  <si>
    <t>FUP-129</t>
  </si>
  <si>
    <t>FUP-130</t>
  </si>
  <si>
    <t>FUP-131</t>
  </si>
  <si>
    <t>FUP-132</t>
  </si>
  <si>
    <t>FUP-133</t>
  </si>
  <si>
    <t>FUP-134</t>
  </si>
  <si>
    <t>FUP-135</t>
  </si>
  <si>
    <t>FUP-136</t>
  </si>
  <si>
    <t>FUP-137</t>
  </si>
  <si>
    <t>FUP-138</t>
  </si>
  <si>
    <t>Escalated to legal department</t>
  </si>
  <si>
    <t>FUP-139</t>
  </si>
  <si>
    <t>FUP-140</t>
  </si>
  <si>
    <t>FUP-141</t>
  </si>
  <si>
    <t>FUP-142</t>
  </si>
  <si>
    <t>FUP-143</t>
  </si>
  <si>
    <t>FUP-144</t>
  </si>
  <si>
    <t>FUP-145</t>
  </si>
  <si>
    <t>FUP-146</t>
  </si>
  <si>
    <t>FUP-147</t>
  </si>
  <si>
    <t>Legal action being considered</t>
  </si>
  <si>
    <t>FUP-148</t>
  </si>
  <si>
    <t>FUP-149</t>
  </si>
  <si>
    <t>FUP-150</t>
  </si>
  <si>
    <t>FUP-151</t>
  </si>
  <si>
    <t>FUP-152</t>
  </si>
  <si>
    <t>FUP-153</t>
  </si>
  <si>
    <t>FUP-154</t>
  </si>
  <si>
    <t>FUP-155</t>
  </si>
  <si>
    <t>FUP-156</t>
  </si>
  <si>
    <t>Metric</t>
  </si>
  <si>
    <t>Value</t>
  </si>
  <si>
    <t>Total Customers</t>
  </si>
  <si>
    <t>Active AR Customers</t>
  </si>
  <si>
    <t>Total Invoices Outstanding</t>
  </si>
  <si>
    <t>Total Outstanding Amount (QAR)</t>
  </si>
  <si>
    <t>Average Days Overdue</t>
  </si>
  <si>
    <t>Customers &gt; 60 days overdue</t>
  </si>
  <si>
    <t>Collection Rate (Last 30 days)</t>
  </si>
  <si>
    <t>39.7%</t>
  </si>
  <si>
    <t>Largest Single Invoice Outstanding</t>
  </si>
  <si>
    <t>Customers at Credit Limit</t>
  </si>
  <si>
    <t>Total Overdue (&gt;30 days)</t>
  </si>
  <si>
    <t>Aging % Current</t>
  </si>
  <si>
    <t>43.3%</t>
  </si>
  <si>
    <t>Aging % 31-60 days</t>
  </si>
  <si>
    <t>21.3%</t>
  </si>
  <si>
    <t>Aging % 61-90 days</t>
  </si>
  <si>
    <t>29.2%</t>
  </si>
  <si>
    <t>Aging % 90+ days</t>
  </si>
  <si>
    <t>6.2%</t>
  </si>
  <si>
    <t>Total Invoiced</t>
  </si>
  <si>
    <t>Total Payments</t>
  </si>
  <si>
    <t>Outstanding Balance</t>
  </si>
  <si>
    <t>Difference</t>
  </si>
  <si>
    <t>Reconciled</t>
  </si>
  <si>
    <t>Row Labels</t>
  </si>
  <si>
    <t>Grand Total</t>
  </si>
  <si>
    <t>Column Labels</t>
  </si>
  <si>
    <t>Sum of Outstanding Amount (QAR)</t>
  </si>
  <si>
    <t>(All)</t>
  </si>
  <si>
    <t>Qatar Airways - Aged Debtors Summary</t>
  </si>
  <si>
    <t xml:space="preserve">As of </t>
  </si>
  <si>
    <t>Amount (QAR)</t>
  </si>
  <si>
    <t>% of Total</t>
  </si>
  <si>
    <t>Avg Days</t>
  </si>
  <si>
    <t xml:space="preserve">Current (0-30) </t>
  </si>
  <si>
    <t xml:space="preserve">31-60 days </t>
  </si>
  <si>
    <t xml:space="preserve"> 61-90 days </t>
  </si>
  <si>
    <t xml:space="preserve">90+ days </t>
  </si>
  <si>
    <t>TOTAL</t>
  </si>
  <si>
    <t>Customers Count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</si>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</sst>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71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rgb="FF0F1115"/>
      <name val="Times New Roman"/>
      <family val="1"/>
    </font>
    <font>
      <b/>
      <sz val="10"/>
      <color rgb="FF0F1115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rgb="FF0F1115"/>
      <name val="Times New Roman"/>
      <family val="1"/>
    </font>
    <font>
      <sz val="9"/>
      <color rgb="FF0F1115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43" fontId="0" fillId="0" borderId="0" xfId="1" pivotButton="1" applyFont="1"/>
    <xf numFmtId="0" fontId="5" fillId="0" borderId="0" xfId="0" applyFont="1"/>
    <xf numFmtId="43" fontId="5" fillId="0" borderId="1" xfId="1" applyFont="1" applyBorder="1"/>
    <xf numFmtId="0" fontId="5" fillId="0" borderId="1" xfId="0" applyFont="1" applyBorder="1"/>
    <xf numFmtId="43" fontId="6" fillId="0" borderId="1" xfId="1" applyFont="1" applyBorder="1"/>
    <xf numFmtId="0" fontId="6" fillId="0" borderId="1" xfId="0" applyFont="1" applyBorder="1"/>
    <xf numFmtId="0" fontId="7" fillId="2" borderId="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43" fontId="11" fillId="2" borderId="1" xfId="1" applyFont="1" applyFill="1" applyBorder="1"/>
    <xf numFmtId="9" fontId="9" fillId="2" borderId="1" xfId="2" applyFont="1" applyFill="1" applyBorder="1"/>
    <xf numFmtId="0" fontId="9" fillId="2" borderId="1" xfId="0" applyFont="1" applyFill="1" applyBorder="1"/>
    <xf numFmtId="1" fontId="9" fillId="2" borderId="1" xfId="0" applyNumberFormat="1" applyFont="1" applyFill="1" applyBorder="1"/>
    <xf numFmtId="171" fontId="9" fillId="2" borderId="1" xfId="1" applyNumberFormat="1" applyFont="1" applyFill="1" applyBorder="1"/>
    <xf numFmtId="0" fontId="11" fillId="2" borderId="1" xfId="0" applyFont="1" applyFill="1" applyBorder="1"/>
    <xf numFmtId="43" fontId="10" fillId="2" borderId="1" xfId="1" applyFont="1" applyFill="1" applyBorder="1"/>
    <xf numFmtId="9" fontId="10" fillId="2" borderId="1" xfId="2" applyFont="1" applyFill="1" applyBorder="1"/>
    <xf numFmtId="0" fontId="10" fillId="2" borderId="1" xfId="0" applyFont="1" applyFill="1" applyBorder="1"/>
    <xf numFmtId="0" fontId="5" fillId="0" borderId="0" xfId="0" applyFont="1" applyBorder="1"/>
    <xf numFmtId="0" fontId="5" fillId="2" borderId="0" xfId="0" applyFont="1" applyFill="1" applyBorder="1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6" xfId="0" applyFont="1" applyFill="1" applyBorder="1"/>
    <xf numFmtId="0" fontId="5" fillId="2" borderId="7" xfId="0" applyFont="1" applyFill="1" applyBorder="1"/>
    <xf numFmtId="0" fontId="5" fillId="0" borderId="6" xfId="0" applyFont="1" applyBorder="1"/>
    <xf numFmtId="0" fontId="5" fillId="0" borderId="7" xfId="0" applyFont="1" applyBorder="1"/>
    <xf numFmtId="0" fontId="5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left" vertical="center" indent="1"/>
    </xf>
    <xf numFmtId="0" fontId="6" fillId="2" borderId="1" xfId="0" applyFont="1" applyFill="1" applyBorder="1"/>
    <xf numFmtId="0" fontId="5" fillId="2" borderId="1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13"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eradmin" refreshedDate="45996.813628703705" createdVersion="8" refreshedVersion="8" minRefreshableVersion="3" recordCount="137" xr:uid="{8EB8C47E-1811-4035-8C93-1C1714E34B85}">
  <cacheSource type="worksheet">
    <worksheetSource name="Table1"/>
  </cacheSource>
  <cacheFields count="13">
    <cacheField name="Invoice Number" numFmtId="0">
      <sharedItems/>
    </cacheField>
    <cacheField name="Customer ID" numFmtId="0">
      <sharedItems count="25">
        <s v="CUST-1000"/>
        <s v="CUST-1001"/>
        <s v="CUST-1002"/>
        <s v="CUST-1003"/>
        <s v="CUST-1004"/>
        <s v="CUST-1005"/>
        <s v="CUST-1006"/>
        <s v="CUST-1007"/>
        <s v="CUST-1008"/>
        <s v="CUST-1009"/>
        <s v="CUST-1010"/>
        <s v="CUST-1011"/>
        <s v="CUST-1012"/>
        <s v="CUST-1013"/>
        <s v="CUST-1014"/>
        <s v="CUST-1015"/>
        <s v="CUST-1016"/>
        <s v="CUST-1017"/>
        <s v="CUST-1018"/>
        <s v="CUST-1019"/>
        <s v="CUST-1020"/>
        <s v="CUST-1021"/>
        <s v="CUST-1022"/>
        <s v="CUST-1023"/>
        <s v="CUST-1024"/>
      </sharedItems>
    </cacheField>
    <cacheField name="Invoice Date" numFmtId="164">
      <sharedItems containsSemiMixedTypes="0" containsNonDate="0" containsDate="1" containsString="0" minDate="2024-09-19T00:00:00" maxDate="2025-01-15T00:00:00"/>
    </cacheField>
    <cacheField name="Due Date" numFmtId="164">
      <sharedItems containsSemiMixedTypes="0" containsNonDate="0" containsDate="1" containsString="0" minDate="2024-09-21T00:00:00" maxDate="2025-02-13T00:00:00"/>
    </cacheField>
    <cacheField name="Invoice Amount (QAR)" numFmtId="0">
      <sharedItems containsSemiMixedTypes="0" containsString="0" containsNumber="1" minValue="5615.35" maxValue="49671.14"/>
    </cacheField>
    <cacheField name="Paid Amount (QAR)" numFmtId="0">
      <sharedItems containsSemiMixedTypes="0" containsString="0" containsNumber="1" minValue="0" maxValue="49496.94"/>
    </cacheField>
    <cacheField name="Outstanding Amount (QAR)" numFmtId="0">
      <sharedItems containsSemiMixedTypes="0" containsString="0" containsNumber="1" minValue="0" maxValue="49671.14"/>
    </cacheField>
    <cacheField name="Aging Bucket" numFmtId="0">
      <sharedItems count="4">
        <s v="Current (0-30)"/>
        <s v="61-90 days"/>
        <s v="31-60 days"/>
        <s v="90+ days"/>
      </sharedItems>
    </cacheField>
    <cacheField name="Days Overdue" numFmtId="0">
      <sharedItems containsSemiMixedTypes="0" containsString="0" containsNumber="1" containsInteger="1" minValue="0" maxValue="116" count="67">
        <n v="0"/>
        <n v="77"/>
        <n v="26"/>
        <n v="66"/>
        <n v="21"/>
        <n v="88"/>
        <n v="7"/>
        <n v="74"/>
        <n v="76"/>
        <n v="79"/>
        <n v="51"/>
        <n v="38"/>
        <n v="57"/>
        <n v="78"/>
        <n v="3"/>
        <n v="83"/>
        <n v="80"/>
        <n v="81"/>
        <n v="72"/>
        <n v="71"/>
        <n v="68"/>
        <n v="82"/>
        <n v="46"/>
        <n v="40"/>
        <n v="47"/>
        <n v="48"/>
        <n v="1"/>
        <n v="98"/>
        <n v="19"/>
        <n v="53"/>
        <n v="73"/>
        <n v="29"/>
        <n v="13"/>
        <n v="5"/>
        <n v="85"/>
        <n v="103"/>
        <n v="64"/>
        <n v="55"/>
        <n v="17"/>
        <n v="12"/>
        <n v="39"/>
        <n v="67"/>
        <n v="37"/>
        <n v="43"/>
        <n v="6"/>
        <n v="45"/>
        <n v="42"/>
        <n v="63"/>
        <n v="96"/>
        <n v="11"/>
        <n v="32"/>
        <n v="59"/>
        <n v="52"/>
        <n v="30"/>
        <n v="101"/>
        <n v="65"/>
        <n v="116"/>
        <n v="75"/>
        <n v="49"/>
        <n v="110"/>
        <n v="99"/>
        <n v="4"/>
        <n v="16"/>
        <n v="18"/>
        <n v="86"/>
        <n v="15"/>
        <n v="28"/>
      </sharedItems>
    </cacheField>
    <cacheField name="Status" numFmtId="0">
      <sharedItems/>
    </cacheField>
    <cacheField name="Product/Service" numFmtId="0">
      <sharedItems/>
    </cacheField>
    <cacheField name="LPO Number" numFmtId="0">
      <sharedItems containsBlank="1"/>
    </cacheField>
    <cacheField name="Payment Term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s v="INV-1001"/>
    <x v="0"/>
    <d v="2025-01-07T00:00:00"/>
    <d v="2025-01-22T00:00:00"/>
    <n v="45743.9"/>
    <n v="3241.29"/>
    <n v="42502.61"/>
    <x v="0"/>
    <x v="0"/>
    <s v="Partial"/>
    <s v="Catering Service"/>
    <s v="LPO-5135"/>
    <s v="Net 15"/>
  </r>
  <r>
    <s v="INV-1002"/>
    <x v="0"/>
    <d v="2024-10-15T00:00:00"/>
    <d v="2024-10-30T00:00:00"/>
    <n v="47098.14"/>
    <n v="22261.93"/>
    <n v="24836.21"/>
    <x v="1"/>
    <x v="1"/>
    <s v="Partial"/>
    <s v="Maintenance Service"/>
    <m/>
    <s v="Net 15"/>
  </r>
  <r>
    <s v="INV-1003"/>
    <x v="0"/>
    <d v="2025-01-03T00:00:00"/>
    <d v="2025-01-18T00:00:00"/>
    <n v="34654.22"/>
    <n v="34654.22"/>
    <n v="0"/>
    <x v="0"/>
    <x v="0"/>
    <s v="Paid"/>
    <s v="Flight Tickets"/>
    <s v="LPO-5661"/>
    <s v="Net 15"/>
  </r>
  <r>
    <s v="INV-1004"/>
    <x v="0"/>
    <d v="2025-01-03T00:00:00"/>
    <d v="2025-01-18T00:00:00"/>
    <n v="7727.57"/>
    <n v="6186.63"/>
    <n v="1540.94"/>
    <x v="0"/>
    <x v="0"/>
    <s v="Partial"/>
    <s v="Baggage Fees"/>
    <m/>
    <s v="Net 15"/>
  </r>
  <r>
    <s v="INV-1005"/>
    <x v="1"/>
    <d v="2024-12-29T00:00:00"/>
    <d v="2025-01-28T00:00:00"/>
    <n v="23984.67"/>
    <n v="0"/>
    <n v="23984.67"/>
    <x v="0"/>
    <x v="0"/>
    <s v="Unpaid"/>
    <s v="Baggage Fees"/>
    <s v="LPO-5077"/>
    <s v="Net 30"/>
  </r>
  <r>
    <s v="INV-1006"/>
    <x v="1"/>
    <d v="2024-11-20T00:00:00"/>
    <d v="2024-12-20T00:00:00"/>
    <n v="41361"/>
    <n v="4049.6"/>
    <n v="37311.4"/>
    <x v="0"/>
    <x v="2"/>
    <s v="Partial"/>
    <s v="Flight Tickets"/>
    <s v="LPO-5948"/>
    <s v="Net 30"/>
  </r>
  <r>
    <s v="INV-1007"/>
    <x v="1"/>
    <d v="2024-10-11T00:00:00"/>
    <d v="2024-11-10T00:00:00"/>
    <n v="43191.31"/>
    <n v="0"/>
    <n v="43191.31"/>
    <x v="1"/>
    <x v="3"/>
    <s v="Unpaid"/>
    <s v="Catering Service"/>
    <s v="LPO-5885"/>
    <s v="Net 30"/>
  </r>
  <r>
    <s v="INV-1008"/>
    <x v="1"/>
    <d v="2024-11-25T00:00:00"/>
    <d v="2024-12-25T00:00:00"/>
    <n v="45609.93"/>
    <n v="0"/>
    <n v="45609.93"/>
    <x v="0"/>
    <x v="4"/>
    <s v="Unpaid"/>
    <s v="Flight Tickets"/>
    <s v="LPO-5271"/>
    <s v="Net 30"/>
  </r>
  <r>
    <s v="INV-1009"/>
    <x v="1"/>
    <d v="2024-09-19T00:00:00"/>
    <d v="2024-10-19T00:00:00"/>
    <n v="40283.18"/>
    <n v="40283.18"/>
    <n v="0"/>
    <x v="1"/>
    <x v="5"/>
    <s v="Paid"/>
    <s v="Catering Service"/>
    <m/>
    <s v="Net 30"/>
  </r>
  <r>
    <s v="INV-1010"/>
    <x v="1"/>
    <d v="2024-12-09T00:00:00"/>
    <d v="2025-01-08T00:00:00"/>
    <n v="14796.54"/>
    <n v="0"/>
    <n v="14796.54"/>
    <x v="0"/>
    <x v="6"/>
    <s v="Unpaid"/>
    <s v="Flight Tickets"/>
    <s v="LPO-5058"/>
    <s v="Net 30"/>
  </r>
  <r>
    <s v="INV-1011"/>
    <x v="2"/>
    <d v="2024-11-02T00:00:00"/>
    <d v="2024-11-02T00:00:00"/>
    <n v="26455.48"/>
    <n v="14051.2"/>
    <n v="12404.28"/>
    <x v="1"/>
    <x v="7"/>
    <s v="Partial"/>
    <s v="Cargo Service"/>
    <s v="LPO-5070"/>
    <s v="Due on receipt"/>
  </r>
  <r>
    <s v="INV-1012"/>
    <x v="2"/>
    <d v="2024-10-31T00:00:00"/>
    <d v="2024-10-31T00:00:00"/>
    <n v="8058.24"/>
    <n v="8058.24"/>
    <n v="0"/>
    <x v="1"/>
    <x v="8"/>
    <s v="Paid"/>
    <s v="Baggage Fees"/>
    <s v="LPO-5040"/>
    <s v="Due on receipt"/>
  </r>
  <r>
    <s v="INV-1013"/>
    <x v="2"/>
    <d v="2024-10-28T00:00:00"/>
    <d v="2024-10-28T00:00:00"/>
    <n v="8689.25"/>
    <n v="4911.3999999999996"/>
    <n v="3777.85"/>
    <x v="1"/>
    <x v="9"/>
    <s v="Partial"/>
    <s v="Charter Service"/>
    <s v="LPO-5733"/>
    <s v="Due on receipt"/>
  </r>
  <r>
    <s v="INV-1014"/>
    <x v="3"/>
    <d v="2024-12-16T00:00:00"/>
    <d v="2025-01-30T00:00:00"/>
    <n v="16952.650000000001"/>
    <n v="0"/>
    <n v="16952.650000000001"/>
    <x v="0"/>
    <x v="0"/>
    <s v="Unpaid"/>
    <s v="Charter Service"/>
    <s v="LPO-5951"/>
    <s v="Net 45"/>
  </r>
  <r>
    <s v="INV-1015"/>
    <x v="3"/>
    <d v="2024-10-11T00:00:00"/>
    <d v="2024-11-25T00:00:00"/>
    <n v="47108.04"/>
    <n v="0"/>
    <n v="47108.04"/>
    <x v="2"/>
    <x v="10"/>
    <s v="Unpaid"/>
    <s v="Cargo Service"/>
    <m/>
    <s v="Net 45"/>
  </r>
  <r>
    <s v="INV-1016"/>
    <x v="3"/>
    <d v="2024-12-19T00:00:00"/>
    <d v="2025-02-02T00:00:00"/>
    <n v="27764.81"/>
    <n v="0"/>
    <n v="27764.81"/>
    <x v="0"/>
    <x v="0"/>
    <s v="Unpaid"/>
    <s v="Aviation Fuel"/>
    <s v="LPO-5900"/>
    <s v="Net 45"/>
  </r>
  <r>
    <s v="INV-1017"/>
    <x v="3"/>
    <d v="2024-12-15T00:00:00"/>
    <d v="2025-01-29T00:00:00"/>
    <n v="21628.720000000001"/>
    <n v="0"/>
    <n v="21628.720000000001"/>
    <x v="0"/>
    <x v="0"/>
    <s v="Unpaid"/>
    <s v="Charter Service"/>
    <s v="LPO-5826"/>
    <s v="Net 45"/>
  </r>
  <r>
    <s v="INV-1018"/>
    <x v="3"/>
    <d v="2024-10-24T00:00:00"/>
    <d v="2024-12-08T00:00:00"/>
    <n v="28802.33"/>
    <n v="28802.33"/>
    <n v="0"/>
    <x v="2"/>
    <x v="11"/>
    <s v="Paid"/>
    <s v="Cargo Service"/>
    <s v="LPO-5137"/>
    <s v="Net 45"/>
  </r>
  <r>
    <s v="INV-1019"/>
    <x v="4"/>
    <d v="2025-01-01T00:00:00"/>
    <d v="2025-01-31T00:00:00"/>
    <n v="45037.07"/>
    <n v="7000.92"/>
    <n v="38036.15"/>
    <x v="0"/>
    <x v="0"/>
    <s v="Partial"/>
    <s v="Baggage Fees"/>
    <s v="LPO-5208"/>
    <s v="Net 30"/>
  </r>
  <r>
    <s v="INV-1020"/>
    <x v="4"/>
    <d v="2024-10-20T00:00:00"/>
    <d v="2024-11-19T00:00:00"/>
    <n v="33540.71"/>
    <n v="0"/>
    <n v="33540.71"/>
    <x v="2"/>
    <x v="12"/>
    <s v="Unpaid"/>
    <s v="Catering Service"/>
    <s v="LPO-5929"/>
    <s v="Net 30"/>
  </r>
  <r>
    <s v="INV-1021"/>
    <x v="4"/>
    <d v="2024-09-29T00:00:00"/>
    <d v="2024-10-29T00:00:00"/>
    <n v="7285.95"/>
    <n v="6042.59"/>
    <n v="1243.3599999999999"/>
    <x v="1"/>
    <x v="13"/>
    <s v="Partial"/>
    <s v="Aviation Fuel"/>
    <s v="LPO-5652"/>
    <s v="Net 30"/>
  </r>
  <r>
    <s v="INV-1022"/>
    <x v="4"/>
    <d v="2024-12-13T00:00:00"/>
    <d v="2025-01-12T00:00:00"/>
    <n v="12271.19"/>
    <n v="8659.3799999999992"/>
    <n v="3611.8100000000009"/>
    <x v="0"/>
    <x v="14"/>
    <s v="Partial"/>
    <s v="Cargo Service"/>
    <m/>
    <s v="Net 30"/>
  </r>
  <r>
    <s v="INV-1023"/>
    <x v="4"/>
    <d v="2024-09-24T00:00:00"/>
    <d v="2024-10-24T00:00:00"/>
    <n v="36095.879999999997"/>
    <n v="0"/>
    <n v="36095.879999999997"/>
    <x v="1"/>
    <x v="15"/>
    <s v="Unpaid"/>
    <s v="Flight Tickets"/>
    <s v="LPO-5596"/>
    <s v="Net 30"/>
  </r>
  <r>
    <s v="INV-1024"/>
    <x v="5"/>
    <d v="2024-12-28T00:00:00"/>
    <d v="2025-01-27T00:00:00"/>
    <n v="24340.400000000001"/>
    <n v="0"/>
    <n v="24340.400000000001"/>
    <x v="0"/>
    <x v="0"/>
    <s v="Unpaid"/>
    <s v="Aviation Fuel"/>
    <s v="LPO-5815"/>
    <s v="Net 30"/>
  </r>
  <r>
    <s v="INV-1025"/>
    <x v="5"/>
    <d v="2024-09-27T00:00:00"/>
    <d v="2024-10-27T00:00:00"/>
    <n v="6795.27"/>
    <n v="4634.83"/>
    <n v="2160.440000000001"/>
    <x v="1"/>
    <x v="16"/>
    <s v="Partial"/>
    <s v="Aviation Fuel"/>
    <s v="LPO-5905"/>
    <s v="Net 30"/>
  </r>
  <r>
    <s v="INV-1026"/>
    <x v="5"/>
    <d v="2024-09-26T00:00:00"/>
    <d v="2024-10-26T00:00:00"/>
    <n v="23286.98"/>
    <n v="23286.98"/>
    <n v="0"/>
    <x v="1"/>
    <x v="17"/>
    <s v="Paid"/>
    <s v="VIP Lounge"/>
    <s v="LPO-5830"/>
    <s v="Net 30"/>
  </r>
  <r>
    <s v="INV-1027"/>
    <x v="5"/>
    <d v="2024-12-24T00:00:00"/>
    <d v="2025-01-23T00:00:00"/>
    <n v="44663.73"/>
    <n v="0"/>
    <n v="44663.73"/>
    <x v="0"/>
    <x v="0"/>
    <s v="Unpaid"/>
    <s v="Aviation Fuel"/>
    <s v="LPO-5421"/>
    <s v="Net 30"/>
  </r>
  <r>
    <s v="INV-1028"/>
    <x v="5"/>
    <d v="2024-10-05T00:00:00"/>
    <d v="2024-11-04T00:00:00"/>
    <n v="35145.82"/>
    <n v="8722.0400000000009"/>
    <n v="26423.78"/>
    <x v="1"/>
    <x v="18"/>
    <s v="Partial"/>
    <s v="Cargo Service"/>
    <s v="LPO-5039"/>
    <s v="Net 30"/>
  </r>
  <r>
    <s v="INV-1029"/>
    <x v="5"/>
    <d v="2024-09-28T00:00:00"/>
    <d v="2024-10-28T00:00:00"/>
    <n v="26181.05"/>
    <n v="0"/>
    <n v="26181.05"/>
    <x v="1"/>
    <x v="9"/>
    <s v="Unpaid"/>
    <s v="Catering Service"/>
    <s v="LPO-5840"/>
    <s v="Net 30"/>
  </r>
  <r>
    <s v="INV-1030"/>
    <x v="5"/>
    <d v="2024-10-06T00:00:00"/>
    <d v="2024-11-05T00:00:00"/>
    <n v="44209.54"/>
    <n v="0"/>
    <n v="44209.54"/>
    <x v="1"/>
    <x v="19"/>
    <s v="Unpaid"/>
    <s v="Baggage Fees"/>
    <s v="LPO-5285"/>
    <s v="Net 30"/>
  </r>
  <r>
    <s v="INV-1031"/>
    <x v="6"/>
    <d v="2024-10-09T00:00:00"/>
    <d v="2024-11-08T00:00:00"/>
    <n v="17560.62"/>
    <n v="17560.62"/>
    <n v="0"/>
    <x v="1"/>
    <x v="20"/>
    <s v="Paid"/>
    <s v="Aviation Fuel"/>
    <s v="LPO-5118"/>
    <s v="Net 30"/>
  </r>
  <r>
    <s v="INV-1032"/>
    <x v="6"/>
    <d v="2024-09-25T00:00:00"/>
    <d v="2024-10-25T00:00:00"/>
    <n v="48668.03"/>
    <n v="0"/>
    <n v="48668.03"/>
    <x v="1"/>
    <x v="21"/>
    <s v="Unpaid"/>
    <s v="Charter Service"/>
    <m/>
    <s v="Net 30"/>
  </r>
  <r>
    <s v="INV-1033"/>
    <x v="6"/>
    <d v="2024-10-31T00:00:00"/>
    <d v="2024-11-30T00:00:00"/>
    <n v="24555.37"/>
    <n v="7702.46"/>
    <n v="16852.91"/>
    <x v="2"/>
    <x v="22"/>
    <s v="Partial"/>
    <s v="Cargo Service"/>
    <s v="LPO-5590"/>
    <s v="Net 30"/>
  </r>
  <r>
    <s v="INV-1034"/>
    <x v="7"/>
    <d v="2024-12-14T00:00:00"/>
    <d v="2025-01-28T00:00:00"/>
    <n v="6997.39"/>
    <n v="6997.39"/>
    <n v="0"/>
    <x v="0"/>
    <x v="0"/>
    <s v="Paid"/>
    <s v="Baggage Fees"/>
    <s v="LPO-5071"/>
    <s v="Net 45"/>
  </r>
  <r>
    <s v="INV-1035"/>
    <x v="7"/>
    <d v="2024-10-22T00:00:00"/>
    <d v="2024-12-06T00:00:00"/>
    <n v="46434.69"/>
    <n v="30804.19"/>
    <n v="15630.5"/>
    <x v="2"/>
    <x v="23"/>
    <s v="Partial"/>
    <s v="Charter Service"/>
    <s v="LPO-5682"/>
    <s v="Net 45"/>
  </r>
  <r>
    <s v="INV-1036"/>
    <x v="7"/>
    <d v="2024-11-24T00:00:00"/>
    <d v="2025-01-08T00:00:00"/>
    <n v="19678.23"/>
    <n v="10909.86"/>
    <n v="8768.369999999999"/>
    <x v="0"/>
    <x v="6"/>
    <s v="Partial"/>
    <s v="Maintenance Service"/>
    <s v="LPO-5924"/>
    <s v="Net 45"/>
  </r>
  <r>
    <s v="INV-1037"/>
    <x v="7"/>
    <d v="2024-12-24T00:00:00"/>
    <d v="2025-02-07T00:00:00"/>
    <n v="32698.17"/>
    <n v="17916.54"/>
    <n v="14781.63"/>
    <x v="0"/>
    <x v="0"/>
    <s v="Partial"/>
    <s v="Charter Service"/>
    <s v="LPO-5804"/>
    <s v="Net 45"/>
  </r>
  <r>
    <s v="INV-1038"/>
    <x v="8"/>
    <d v="2024-10-30T00:00:00"/>
    <d v="2024-11-29T00:00:00"/>
    <n v="34461.75"/>
    <n v="15237.6"/>
    <n v="19224.150000000001"/>
    <x v="2"/>
    <x v="24"/>
    <s v="Partial"/>
    <s v="Catering Service"/>
    <s v="LPO-5982"/>
    <s v="Net 30"/>
  </r>
  <r>
    <s v="INV-1039"/>
    <x v="8"/>
    <d v="2024-10-06T00:00:00"/>
    <d v="2024-11-05T00:00:00"/>
    <n v="38118.269999999997"/>
    <n v="10817.45"/>
    <n v="27300.82"/>
    <x v="1"/>
    <x v="19"/>
    <s v="Partial"/>
    <s v="Aviation Fuel"/>
    <m/>
    <s v="Net 30"/>
  </r>
  <r>
    <s v="INV-1040"/>
    <x v="8"/>
    <d v="2024-10-11T00:00:00"/>
    <d v="2024-11-10T00:00:00"/>
    <n v="15569.09"/>
    <n v="12557.45"/>
    <n v="3011.639999999999"/>
    <x v="1"/>
    <x v="3"/>
    <s v="Partial"/>
    <s v="Flight Tickets"/>
    <s v="LPO-5486"/>
    <s v="Net 30"/>
  </r>
  <r>
    <s v="INV-1041"/>
    <x v="8"/>
    <d v="2024-10-29T00:00:00"/>
    <d v="2024-11-28T00:00:00"/>
    <n v="43238.2"/>
    <n v="0"/>
    <n v="43238.2"/>
    <x v="2"/>
    <x v="25"/>
    <s v="Unpaid"/>
    <s v="Maintenance Service"/>
    <s v="LPO-5589"/>
    <s v="Net 30"/>
  </r>
  <r>
    <s v="INV-1042"/>
    <x v="8"/>
    <d v="2024-12-22T00:00:00"/>
    <d v="2025-01-21T00:00:00"/>
    <n v="37325.57"/>
    <n v="14917.27"/>
    <n v="22408.3"/>
    <x v="0"/>
    <x v="0"/>
    <s v="Partial"/>
    <s v="Flight Tickets"/>
    <s v="LPO-5881"/>
    <s v="Net 30"/>
  </r>
  <r>
    <s v="INV-1043"/>
    <x v="8"/>
    <d v="2024-10-09T00:00:00"/>
    <d v="2024-11-08T00:00:00"/>
    <n v="44845.93"/>
    <n v="44845.93"/>
    <n v="0"/>
    <x v="1"/>
    <x v="20"/>
    <s v="Paid"/>
    <s v="Catering Service"/>
    <m/>
    <s v="Net 30"/>
  </r>
  <r>
    <s v="INV-1044"/>
    <x v="8"/>
    <d v="2024-12-15T00:00:00"/>
    <d v="2025-01-14T00:00:00"/>
    <n v="46286.15"/>
    <n v="0"/>
    <n v="46286.15"/>
    <x v="0"/>
    <x v="26"/>
    <s v="Unpaid"/>
    <s v="VIP Lounge"/>
    <s v="LPO-5683"/>
    <s v="Net 30"/>
  </r>
  <r>
    <s v="INV-1045"/>
    <x v="9"/>
    <d v="2024-11-05T00:00:00"/>
    <d v="2024-11-05T00:00:00"/>
    <n v="31795.35"/>
    <n v="28343.200000000001"/>
    <n v="3452.1499999999978"/>
    <x v="1"/>
    <x v="19"/>
    <s v="Partial"/>
    <s v="Maintenance Service"/>
    <s v="LPO-5561"/>
    <s v="Due on receipt"/>
  </r>
  <r>
    <s v="INV-1046"/>
    <x v="9"/>
    <d v="2024-11-19T00:00:00"/>
    <d v="2024-11-19T00:00:00"/>
    <n v="45374.36"/>
    <n v="21538.05"/>
    <n v="23836.31"/>
    <x v="2"/>
    <x v="12"/>
    <s v="Partial"/>
    <s v="Baggage Fees"/>
    <s v="LPO-5283"/>
    <s v="Due on receipt"/>
  </r>
  <r>
    <s v="INV-1047"/>
    <x v="9"/>
    <d v="2024-10-09T00:00:00"/>
    <d v="2024-10-09T00:00:00"/>
    <n v="39995.370000000003"/>
    <n v="9568.73"/>
    <n v="30426.639999999999"/>
    <x v="3"/>
    <x v="27"/>
    <s v="Partial"/>
    <s v="Charter Service"/>
    <s v="LPO-5343"/>
    <s v="Due on receipt"/>
  </r>
  <r>
    <s v="INV-1048"/>
    <x v="9"/>
    <d v="2024-12-06T00:00:00"/>
    <d v="2024-12-06T00:00:00"/>
    <n v="45186.21"/>
    <n v="0"/>
    <n v="45186.21"/>
    <x v="2"/>
    <x v="23"/>
    <s v="Unpaid"/>
    <s v="VIP Lounge"/>
    <s v="LPO-5710"/>
    <s v="Due on receipt"/>
  </r>
  <r>
    <s v="INV-1049"/>
    <x v="9"/>
    <d v="2024-12-27T00:00:00"/>
    <d v="2024-12-27T00:00:00"/>
    <n v="36788.86"/>
    <n v="0"/>
    <n v="36788.86"/>
    <x v="0"/>
    <x v="28"/>
    <s v="Unpaid"/>
    <s v="Maintenance Service"/>
    <s v="LPO-5477"/>
    <s v="Due on receipt"/>
  </r>
  <r>
    <s v="INV-1050"/>
    <x v="9"/>
    <d v="2024-11-23T00:00:00"/>
    <d v="2024-11-23T00:00:00"/>
    <n v="7801.96"/>
    <n v="3038.68"/>
    <n v="4763.2800000000007"/>
    <x v="2"/>
    <x v="29"/>
    <s v="Partial"/>
    <s v="Flight Tickets"/>
    <s v="LPO-5783"/>
    <s v="Due on receipt"/>
  </r>
  <r>
    <s v="INV-1051"/>
    <x v="9"/>
    <d v="2024-11-03T00:00:00"/>
    <d v="2024-11-03T00:00:00"/>
    <n v="22117.15"/>
    <n v="0"/>
    <n v="22117.15"/>
    <x v="1"/>
    <x v="30"/>
    <s v="Unpaid"/>
    <s v="Aviation Fuel"/>
    <s v="LPO-5399"/>
    <s v="Due on receipt"/>
  </r>
  <r>
    <s v="INV-1052"/>
    <x v="10"/>
    <d v="2024-11-08T00:00:00"/>
    <d v="2024-12-08T00:00:00"/>
    <n v="38638.21"/>
    <n v="23308.6"/>
    <n v="15329.61"/>
    <x v="2"/>
    <x v="11"/>
    <s v="Partial"/>
    <s v="Baggage Fees"/>
    <s v="LPO-5497"/>
    <s v="Net 30"/>
  </r>
  <r>
    <s v="INV-1053"/>
    <x v="10"/>
    <d v="2025-01-12T00:00:00"/>
    <d v="2025-02-11T00:00:00"/>
    <n v="22498.57"/>
    <n v="17957.060000000001"/>
    <n v="4541.5099999999984"/>
    <x v="0"/>
    <x v="0"/>
    <s v="Partial"/>
    <s v="Catering Service"/>
    <s v="LPO-5637"/>
    <s v="Net 30"/>
  </r>
  <r>
    <s v="INV-1054"/>
    <x v="10"/>
    <d v="2024-11-08T00:00:00"/>
    <d v="2024-12-08T00:00:00"/>
    <n v="6213.49"/>
    <n v="3506.84"/>
    <n v="2706.65"/>
    <x v="2"/>
    <x v="11"/>
    <s v="Partial"/>
    <s v="Maintenance Service"/>
    <m/>
    <s v="Net 30"/>
  </r>
  <r>
    <s v="INV-1055"/>
    <x v="10"/>
    <d v="2024-11-17T00:00:00"/>
    <d v="2024-12-17T00:00:00"/>
    <n v="13177.81"/>
    <n v="0"/>
    <n v="13177.81"/>
    <x v="0"/>
    <x v="31"/>
    <s v="Unpaid"/>
    <s v="Aviation Fuel"/>
    <s v="LPO-5334"/>
    <s v="Net 30"/>
  </r>
  <r>
    <s v="INV-1056"/>
    <x v="10"/>
    <d v="2024-12-03T00:00:00"/>
    <d v="2025-01-02T00:00:00"/>
    <n v="39255.339999999997"/>
    <n v="39255.339999999997"/>
    <n v="0"/>
    <x v="0"/>
    <x v="32"/>
    <s v="Paid"/>
    <s v="Charter Service"/>
    <s v="LPO-5481"/>
    <s v="Net 30"/>
  </r>
  <r>
    <s v="INV-1057"/>
    <x v="10"/>
    <d v="2025-01-13T00:00:00"/>
    <d v="2025-02-12T00:00:00"/>
    <n v="38706.089999999997"/>
    <n v="0"/>
    <n v="38706.089999999997"/>
    <x v="0"/>
    <x v="0"/>
    <s v="Unpaid"/>
    <s v="Aviation Fuel"/>
    <s v="LPO-5070"/>
    <s v="Net 30"/>
  </r>
  <r>
    <s v="INV-1058"/>
    <x v="11"/>
    <d v="2025-01-10T00:00:00"/>
    <d v="2025-01-10T00:00:00"/>
    <n v="38940.49"/>
    <n v="7763.2"/>
    <n v="31177.29"/>
    <x v="0"/>
    <x v="33"/>
    <s v="Partial"/>
    <s v="VIP Lounge"/>
    <s v="LPO-5484"/>
    <s v="Due on receipt"/>
  </r>
  <r>
    <s v="INV-1059"/>
    <x v="11"/>
    <d v="2024-10-22T00:00:00"/>
    <d v="2024-10-22T00:00:00"/>
    <n v="10147.530000000001"/>
    <n v="4718.95"/>
    <n v="5428.5800000000008"/>
    <x v="1"/>
    <x v="34"/>
    <s v="Partial"/>
    <s v="Aviation Fuel"/>
    <m/>
    <s v="Due on receipt"/>
  </r>
  <r>
    <s v="INV-1060"/>
    <x v="11"/>
    <d v="2024-10-30T00:00:00"/>
    <d v="2024-10-30T00:00:00"/>
    <n v="48368.06"/>
    <n v="37620.28"/>
    <n v="10747.78"/>
    <x v="1"/>
    <x v="1"/>
    <s v="Partial"/>
    <s v="Charter Service"/>
    <m/>
    <s v="Due on receipt"/>
  </r>
  <r>
    <s v="INV-1061"/>
    <x v="11"/>
    <d v="2025-01-12T00:00:00"/>
    <d v="2025-01-12T00:00:00"/>
    <n v="46799.92"/>
    <n v="42495.55"/>
    <n v="4304.3699999999953"/>
    <x v="0"/>
    <x v="14"/>
    <s v="Partial"/>
    <s v="Baggage Fees"/>
    <m/>
    <s v="Due on receipt"/>
  </r>
  <r>
    <s v="INV-1062"/>
    <x v="11"/>
    <d v="2024-10-19T00:00:00"/>
    <d v="2024-10-19T00:00:00"/>
    <n v="42375.72"/>
    <n v="0"/>
    <n v="42375.72"/>
    <x v="1"/>
    <x v="5"/>
    <s v="Unpaid"/>
    <s v="Charter Service"/>
    <s v="LPO-5614"/>
    <s v="Due on receipt"/>
  </r>
  <r>
    <s v="INV-1063"/>
    <x v="11"/>
    <d v="2024-10-04T00:00:00"/>
    <d v="2024-10-04T00:00:00"/>
    <n v="10447.48"/>
    <n v="8176.57"/>
    <n v="2270.91"/>
    <x v="3"/>
    <x v="35"/>
    <s v="Partial"/>
    <s v="Maintenance Service"/>
    <s v="LPO-5070"/>
    <s v="Due on receipt"/>
  </r>
  <r>
    <s v="INV-1064"/>
    <x v="11"/>
    <d v="2024-11-12T00:00:00"/>
    <d v="2024-11-12T00:00:00"/>
    <n v="34139.449999999997"/>
    <n v="0"/>
    <n v="34139.449999999997"/>
    <x v="1"/>
    <x v="36"/>
    <s v="Unpaid"/>
    <s v="Maintenance Service"/>
    <s v="LPO-5108"/>
    <s v="Due on receipt"/>
  </r>
  <r>
    <s v="INV-1065"/>
    <x v="11"/>
    <d v="2024-11-21T00:00:00"/>
    <d v="2024-11-21T00:00:00"/>
    <n v="48235.44"/>
    <n v="39973.06"/>
    <n v="8262.3800000000047"/>
    <x v="2"/>
    <x v="37"/>
    <s v="Partial"/>
    <s v="Maintenance Service"/>
    <m/>
    <s v="Due on receipt"/>
  </r>
  <r>
    <s v="INV-1066"/>
    <x v="12"/>
    <d v="2024-10-24T00:00:00"/>
    <d v="2024-12-08T00:00:00"/>
    <n v="17153.71"/>
    <n v="9231.66"/>
    <n v="7922.0499999999993"/>
    <x v="2"/>
    <x v="11"/>
    <s v="Partial"/>
    <s v="Maintenance Service"/>
    <s v="LPO-5606"/>
    <s v="Net 45"/>
  </r>
  <r>
    <s v="INV-1067"/>
    <x v="12"/>
    <d v="2024-12-12T00:00:00"/>
    <d v="2025-01-26T00:00:00"/>
    <n v="19503.71"/>
    <n v="0"/>
    <n v="19503.71"/>
    <x v="0"/>
    <x v="0"/>
    <s v="Unpaid"/>
    <s v="Cargo Service"/>
    <s v="LPO-5461"/>
    <s v="Net 45"/>
  </r>
  <r>
    <s v="INV-1068"/>
    <x v="12"/>
    <d v="2024-12-15T00:00:00"/>
    <d v="2025-01-29T00:00:00"/>
    <n v="38771.43"/>
    <n v="25906.62"/>
    <n v="12864.81"/>
    <x v="0"/>
    <x v="0"/>
    <s v="Partial"/>
    <s v="Catering Service"/>
    <s v="LPO-5186"/>
    <s v="Net 45"/>
  </r>
  <r>
    <s v="INV-1069"/>
    <x v="12"/>
    <d v="2024-11-14T00:00:00"/>
    <d v="2024-12-29T00:00:00"/>
    <n v="14545.39"/>
    <n v="14545.39"/>
    <n v="0"/>
    <x v="0"/>
    <x v="38"/>
    <s v="Paid"/>
    <s v="Charter Service"/>
    <s v="LPO-5529"/>
    <s v="Net 45"/>
  </r>
  <r>
    <s v="INV-1070"/>
    <x v="12"/>
    <d v="2024-12-22T00:00:00"/>
    <d v="2025-02-05T00:00:00"/>
    <n v="8852.58"/>
    <n v="4325.17"/>
    <n v="4527.41"/>
    <x v="0"/>
    <x v="0"/>
    <s v="Partial"/>
    <s v="Catering Service"/>
    <s v="LPO-5502"/>
    <s v="Net 45"/>
  </r>
  <r>
    <s v="INV-1071"/>
    <x v="12"/>
    <d v="2024-11-19T00:00:00"/>
    <d v="2025-01-03T00:00:00"/>
    <n v="40681.980000000003"/>
    <n v="0"/>
    <n v="40681.980000000003"/>
    <x v="0"/>
    <x v="39"/>
    <s v="Unpaid"/>
    <s v="Baggage Fees"/>
    <s v="LPO-5249"/>
    <s v="Net 45"/>
  </r>
  <r>
    <s v="INV-1072"/>
    <x v="12"/>
    <d v="2024-12-07T00:00:00"/>
    <d v="2025-01-21T00:00:00"/>
    <n v="34878.199999999997"/>
    <n v="19304.14"/>
    <n v="15574.06"/>
    <x v="0"/>
    <x v="0"/>
    <s v="Partial"/>
    <s v="Aviation Fuel"/>
    <s v="LPO-5464"/>
    <s v="Net 45"/>
  </r>
  <r>
    <s v="INV-1073"/>
    <x v="13"/>
    <d v="2024-12-07T00:00:00"/>
    <d v="2024-12-07T00:00:00"/>
    <n v="16313.17"/>
    <n v="0"/>
    <n v="16313.17"/>
    <x v="2"/>
    <x v="40"/>
    <s v="Unpaid"/>
    <s v="Baggage Fees"/>
    <s v="LPO-5760"/>
    <s v="Due on receipt"/>
  </r>
  <r>
    <s v="INV-1074"/>
    <x v="13"/>
    <d v="2024-11-08T00:00:00"/>
    <d v="2024-11-08T00:00:00"/>
    <n v="47789.49"/>
    <n v="9153.65"/>
    <n v="38635.839999999997"/>
    <x v="1"/>
    <x v="20"/>
    <s v="Partial"/>
    <s v="Charter Service"/>
    <s v="LPO-5778"/>
    <s v="Due on receipt"/>
  </r>
  <r>
    <s v="INV-1075"/>
    <x v="13"/>
    <d v="2024-11-09T00:00:00"/>
    <d v="2024-11-09T00:00:00"/>
    <n v="31855.58"/>
    <n v="26523.86"/>
    <n v="5331.7200000000012"/>
    <x v="1"/>
    <x v="41"/>
    <s v="Partial"/>
    <s v="Aviation Fuel"/>
    <m/>
    <s v="Due on receipt"/>
  </r>
  <r>
    <s v="INV-1076"/>
    <x v="13"/>
    <d v="2025-01-14T00:00:00"/>
    <d v="2025-01-14T00:00:00"/>
    <n v="36860.83"/>
    <n v="0"/>
    <n v="36860.83"/>
    <x v="0"/>
    <x v="26"/>
    <s v="Unpaid"/>
    <s v="Flight Tickets"/>
    <s v="LPO-5566"/>
    <s v="Due on receipt"/>
  </r>
  <r>
    <s v="INV-1077"/>
    <x v="13"/>
    <d v="2024-12-09T00:00:00"/>
    <d v="2024-12-09T00:00:00"/>
    <n v="36383.78"/>
    <n v="0"/>
    <n v="36383.78"/>
    <x v="2"/>
    <x v="42"/>
    <s v="Unpaid"/>
    <s v="Catering Service"/>
    <m/>
    <s v="Due on receipt"/>
  </r>
  <r>
    <s v="INV-1078"/>
    <x v="14"/>
    <d v="2024-11-03T00:00:00"/>
    <d v="2024-12-03T00:00:00"/>
    <n v="17795.27"/>
    <n v="17795.27"/>
    <n v="0"/>
    <x v="2"/>
    <x v="43"/>
    <s v="Paid"/>
    <s v="Charter Service"/>
    <s v="LPO-5489"/>
    <s v="Net 30"/>
  </r>
  <r>
    <s v="INV-1079"/>
    <x v="14"/>
    <d v="2025-01-01T00:00:00"/>
    <d v="2025-01-31T00:00:00"/>
    <n v="41995.199999999997"/>
    <n v="3111.1"/>
    <n v="38884.1"/>
    <x v="0"/>
    <x v="0"/>
    <s v="Partial"/>
    <s v="Flight Tickets"/>
    <m/>
    <s v="Net 30"/>
  </r>
  <r>
    <s v="INV-1080"/>
    <x v="14"/>
    <d v="2024-10-04T00:00:00"/>
    <d v="2024-11-03T00:00:00"/>
    <n v="30327.78"/>
    <n v="30143.33"/>
    <n v="184.44999999999709"/>
    <x v="1"/>
    <x v="30"/>
    <s v="Partial"/>
    <s v="Maintenance Service"/>
    <s v="LPO-5809"/>
    <s v="Net 30"/>
  </r>
  <r>
    <s v="INV-1081"/>
    <x v="15"/>
    <d v="2024-12-18T00:00:00"/>
    <d v="2025-01-17T00:00:00"/>
    <n v="39906.21"/>
    <n v="36254.97"/>
    <n v="3651.239999999998"/>
    <x v="0"/>
    <x v="0"/>
    <s v="Partial"/>
    <s v="Maintenance Service"/>
    <s v="LPO-5635"/>
    <s v="Net 30"/>
  </r>
  <r>
    <s v="INV-1082"/>
    <x v="15"/>
    <d v="2025-01-08T00:00:00"/>
    <d v="2025-02-07T00:00:00"/>
    <n v="32433.39"/>
    <n v="30733.56"/>
    <n v="1699.8299999999981"/>
    <x v="0"/>
    <x v="0"/>
    <s v="Partial"/>
    <s v="Baggage Fees"/>
    <s v="LPO-5083"/>
    <s v="Net 30"/>
  </r>
  <r>
    <s v="INV-1083"/>
    <x v="15"/>
    <d v="2024-12-26T00:00:00"/>
    <d v="2025-01-25T00:00:00"/>
    <n v="15793.93"/>
    <n v="2472.27"/>
    <n v="13321.66"/>
    <x v="0"/>
    <x v="0"/>
    <s v="Partial"/>
    <s v="Catering Service"/>
    <s v="LPO-5237"/>
    <s v="Net 30"/>
  </r>
  <r>
    <s v="INV-1084"/>
    <x v="15"/>
    <d v="2024-12-10T00:00:00"/>
    <d v="2025-01-09T00:00:00"/>
    <n v="36813.01"/>
    <n v="16714.259999999998"/>
    <n v="20098.75"/>
    <x v="0"/>
    <x v="44"/>
    <s v="Partial"/>
    <s v="Charter Service"/>
    <s v="LPO-5640"/>
    <s v="Net 30"/>
  </r>
  <r>
    <s v="INV-1085"/>
    <x v="15"/>
    <d v="2024-11-01T00:00:00"/>
    <d v="2024-12-01T00:00:00"/>
    <n v="34753.24"/>
    <n v="14774.96"/>
    <n v="19978.28"/>
    <x v="2"/>
    <x v="45"/>
    <s v="Partial"/>
    <s v="VIP Lounge"/>
    <s v="LPO-5846"/>
    <s v="Net 30"/>
  </r>
  <r>
    <s v="INV-1086"/>
    <x v="15"/>
    <d v="2024-12-28T00:00:00"/>
    <d v="2025-01-27T00:00:00"/>
    <n v="8213.44"/>
    <n v="0"/>
    <n v="8213.44"/>
    <x v="0"/>
    <x v="0"/>
    <s v="Unpaid"/>
    <s v="Charter Service"/>
    <s v="LPO-5844"/>
    <s v="Net 30"/>
  </r>
  <r>
    <s v="INV-1087"/>
    <x v="15"/>
    <d v="2024-11-04T00:00:00"/>
    <d v="2024-12-04T00:00:00"/>
    <n v="46453.66"/>
    <n v="21772.74"/>
    <n v="24680.92"/>
    <x v="2"/>
    <x v="46"/>
    <s v="Partial"/>
    <s v="Maintenance Service"/>
    <s v="LPO-5512"/>
    <s v="Net 30"/>
  </r>
  <r>
    <s v="INV-1088"/>
    <x v="16"/>
    <d v="2024-11-13T00:00:00"/>
    <d v="2024-11-13T00:00:00"/>
    <n v="24699.15"/>
    <n v="21967.99"/>
    <n v="2731.16"/>
    <x v="1"/>
    <x v="47"/>
    <s v="Partial"/>
    <s v="Charter Service"/>
    <m/>
    <s v="Due on receipt"/>
  </r>
  <r>
    <s v="INV-1089"/>
    <x v="16"/>
    <d v="2024-12-17T00:00:00"/>
    <d v="2024-12-17T00:00:00"/>
    <n v="48286"/>
    <n v="48286"/>
    <n v="0"/>
    <x v="0"/>
    <x v="31"/>
    <s v="Paid"/>
    <s v="Charter Service"/>
    <s v="LPO-5781"/>
    <s v="Due on receipt"/>
  </r>
  <r>
    <s v="INV-1090"/>
    <x v="16"/>
    <d v="2024-10-11T00:00:00"/>
    <d v="2024-10-11T00:00:00"/>
    <n v="12883.58"/>
    <n v="5697.5"/>
    <n v="7186.08"/>
    <x v="3"/>
    <x v="48"/>
    <s v="Partial"/>
    <s v="Maintenance Service"/>
    <s v="LPO-5503"/>
    <s v="Due on receipt"/>
  </r>
  <r>
    <s v="INV-1091"/>
    <x v="16"/>
    <d v="2025-01-04T00:00:00"/>
    <d v="2025-01-04T00:00:00"/>
    <n v="26150.47"/>
    <n v="8395.82"/>
    <n v="17754.650000000001"/>
    <x v="0"/>
    <x v="49"/>
    <s v="Partial"/>
    <s v="VIP Lounge"/>
    <s v="LPO-5710"/>
    <s v="Due on receipt"/>
  </r>
  <r>
    <s v="INV-1092"/>
    <x v="16"/>
    <d v="2024-11-13T00:00:00"/>
    <d v="2024-11-13T00:00:00"/>
    <n v="17969.8"/>
    <n v="14619.62"/>
    <n v="3350.179999999998"/>
    <x v="1"/>
    <x v="47"/>
    <s v="Partial"/>
    <s v="Catering Service"/>
    <m/>
    <s v="Due on receipt"/>
  </r>
  <r>
    <s v="INV-1093"/>
    <x v="16"/>
    <d v="2024-12-14T00:00:00"/>
    <d v="2024-12-14T00:00:00"/>
    <n v="19547.32"/>
    <n v="7900.54"/>
    <n v="11646.78"/>
    <x v="2"/>
    <x v="50"/>
    <s v="Partial"/>
    <s v="Flight Tickets"/>
    <s v="LPO-5555"/>
    <s v="Due on receipt"/>
  </r>
  <r>
    <s v="INV-1094"/>
    <x v="16"/>
    <d v="2024-11-17T00:00:00"/>
    <d v="2024-11-17T00:00:00"/>
    <n v="23596.14"/>
    <n v="0"/>
    <n v="23596.14"/>
    <x v="2"/>
    <x v="51"/>
    <s v="Unpaid"/>
    <s v="Aviation Fuel"/>
    <s v="LPO-5510"/>
    <s v="Due on receipt"/>
  </r>
  <r>
    <s v="INV-1095"/>
    <x v="17"/>
    <d v="2024-11-20T00:00:00"/>
    <d v="2024-12-20T00:00:00"/>
    <n v="39199.57"/>
    <n v="0"/>
    <n v="39199.57"/>
    <x v="0"/>
    <x v="2"/>
    <s v="Unpaid"/>
    <s v="VIP Lounge"/>
    <s v="LPO-5448"/>
    <s v="Net 30"/>
  </r>
  <r>
    <s v="INV-1096"/>
    <x v="17"/>
    <d v="2024-09-25T00:00:00"/>
    <d v="2024-10-25T00:00:00"/>
    <n v="36421.25"/>
    <n v="0"/>
    <n v="36421.25"/>
    <x v="1"/>
    <x v="21"/>
    <s v="Unpaid"/>
    <s v="Baggage Fees"/>
    <s v="LPO-5318"/>
    <s v="Net 30"/>
  </r>
  <r>
    <s v="INV-1097"/>
    <x v="17"/>
    <d v="2024-11-06T00:00:00"/>
    <d v="2024-12-06T00:00:00"/>
    <n v="5615.35"/>
    <n v="5615.35"/>
    <n v="0"/>
    <x v="2"/>
    <x v="23"/>
    <s v="Paid"/>
    <s v="Cargo Service"/>
    <s v="LPO-5120"/>
    <s v="Net 30"/>
  </r>
  <r>
    <s v="INV-1098"/>
    <x v="17"/>
    <d v="2024-10-25T00:00:00"/>
    <d v="2024-11-24T00:00:00"/>
    <n v="42446.44"/>
    <n v="30417.26"/>
    <n v="12029.18"/>
    <x v="2"/>
    <x v="52"/>
    <s v="Partial"/>
    <s v="Charter Service"/>
    <s v="LPO-5494"/>
    <s v="Net 30"/>
  </r>
  <r>
    <s v="INV-1099"/>
    <x v="17"/>
    <d v="2024-11-16T00:00:00"/>
    <d v="2024-12-16T00:00:00"/>
    <n v="15967.89"/>
    <n v="15967.89"/>
    <n v="0"/>
    <x v="0"/>
    <x v="53"/>
    <s v="Paid"/>
    <s v="VIP Lounge"/>
    <s v="LPO-5282"/>
    <s v="Net 30"/>
  </r>
  <r>
    <s v="INV-1100"/>
    <x v="17"/>
    <d v="2024-10-09T00:00:00"/>
    <d v="2024-11-08T00:00:00"/>
    <n v="40550.28"/>
    <n v="37884.03"/>
    <n v="2666.25"/>
    <x v="1"/>
    <x v="20"/>
    <s v="Partial"/>
    <s v="Flight Tickets"/>
    <s v="LPO-5305"/>
    <s v="Net 30"/>
  </r>
  <r>
    <s v="INV-1101"/>
    <x v="17"/>
    <d v="2024-09-30T00:00:00"/>
    <d v="2024-10-30T00:00:00"/>
    <n v="31412.2"/>
    <n v="15380.68"/>
    <n v="16031.52"/>
    <x v="1"/>
    <x v="1"/>
    <s v="Partial"/>
    <s v="Catering Service"/>
    <s v="LPO-5565"/>
    <s v="Net 30"/>
  </r>
  <r>
    <s v="INV-1102"/>
    <x v="17"/>
    <d v="2024-10-10T00:00:00"/>
    <d v="2024-11-09T00:00:00"/>
    <n v="29454.35"/>
    <n v="9477.74"/>
    <n v="19976.61"/>
    <x v="1"/>
    <x v="41"/>
    <s v="Partial"/>
    <s v="Baggage Fees"/>
    <s v="LPO-5239"/>
    <s v="Net 30"/>
  </r>
  <r>
    <s v="INV-1103"/>
    <x v="18"/>
    <d v="2025-01-10T00:00:00"/>
    <d v="2025-01-25T00:00:00"/>
    <n v="19317.93"/>
    <n v="17645.580000000002"/>
    <n v="1672.349999999999"/>
    <x v="0"/>
    <x v="0"/>
    <s v="Partial"/>
    <s v="VIP Lounge"/>
    <s v="LPO-5037"/>
    <s v="Net 15"/>
  </r>
  <r>
    <s v="INV-1104"/>
    <x v="18"/>
    <d v="2024-12-30T00:00:00"/>
    <d v="2025-01-14T00:00:00"/>
    <n v="27603.1"/>
    <n v="27603.1"/>
    <n v="0"/>
    <x v="0"/>
    <x v="26"/>
    <s v="Paid"/>
    <s v="Catering Service"/>
    <m/>
    <s v="Net 15"/>
  </r>
  <r>
    <s v="INV-1105"/>
    <x v="18"/>
    <d v="2024-09-21T00:00:00"/>
    <d v="2024-10-06T00:00:00"/>
    <n v="25561.759999999998"/>
    <n v="10479.780000000001"/>
    <n v="15081.98"/>
    <x v="3"/>
    <x v="54"/>
    <s v="Partial"/>
    <s v="VIP Lounge"/>
    <m/>
    <s v="Net 15"/>
  </r>
  <r>
    <s v="INV-1106"/>
    <x v="18"/>
    <d v="2024-10-07T00:00:00"/>
    <d v="2024-10-22T00:00:00"/>
    <n v="48614.16"/>
    <n v="33675.25"/>
    <n v="14938.91"/>
    <x v="1"/>
    <x v="34"/>
    <s v="Partial"/>
    <s v="Aviation Fuel"/>
    <s v="LPO-5879"/>
    <s v="Net 15"/>
  </r>
  <r>
    <s v="INV-1107"/>
    <x v="18"/>
    <d v="2024-11-08T00:00:00"/>
    <d v="2024-11-23T00:00:00"/>
    <n v="22100.42"/>
    <n v="15883.96"/>
    <n v="6216.4599999999991"/>
    <x v="2"/>
    <x v="29"/>
    <s v="Partial"/>
    <s v="Flight Tickets"/>
    <s v="LPO-5240"/>
    <s v="Net 15"/>
  </r>
  <r>
    <s v="INV-1108"/>
    <x v="18"/>
    <d v="2024-10-27T00:00:00"/>
    <d v="2024-11-11T00:00:00"/>
    <n v="35797.980000000003"/>
    <n v="0"/>
    <n v="35797.980000000003"/>
    <x v="1"/>
    <x v="55"/>
    <s v="Unpaid"/>
    <s v="Baggage Fees"/>
    <s v="LPO-5444"/>
    <s v="Net 15"/>
  </r>
  <r>
    <s v="INV-1109"/>
    <x v="19"/>
    <d v="2024-10-10T00:00:00"/>
    <d v="2024-11-09T00:00:00"/>
    <n v="33518.65"/>
    <n v="14871.51"/>
    <n v="18647.14"/>
    <x v="1"/>
    <x v="41"/>
    <s v="Partial"/>
    <s v="Flight Tickets"/>
    <m/>
    <s v="Net 30"/>
  </r>
  <r>
    <s v="INV-1110"/>
    <x v="19"/>
    <d v="2024-10-06T00:00:00"/>
    <d v="2024-11-05T00:00:00"/>
    <n v="7525.37"/>
    <n v="3241.08"/>
    <n v="4284.29"/>
    <x v="1"/>
    <x v="19"/>
    <s v="Partial"/>
    <s v="Maintenance Service"/>
    <s v="LPO-5811"/>
    <s v="Net 30"/>
  </r>
  <r>
    <s v="INV-1111"/>
    <x v="19"/>
    <d v="2024-12-23T00:00:00"/>
    <d v="2025-01-22T00:00:00"/>
    <n v="12649.26"/>
    <n v="0"/>
    <n v="12649.26"/>
    <x v="0"/>
    <x v="0"/>
    <s v="Unpaid"/>
    <s v="Maintenance Service"/>
    <s v="LPO-5246"/>
    <s v="Net 30"/>
  </r>
  <r>
    <s v="INV-1112"/>
    <x v="20"/>
    <d v="2024-09-21T00:00:00"/>
    <d v="2024-09-21T00:00:00"/>
    <n v="31242.07"/>
    <n v="0"/>
    <n v="31242.07"/>
    <x v="3"/>
    <x v="56"/>
    <s v="Unpaid"/>
    <s v="Charter Service"/>
    <s v="LPO-5682"/>
    <s v="Due on receipt"/>
  </r>
  <r>
    <s v="INV-1113"/>
    <x v="20"/>
    <d v="2025-01-14T00:00:00"/>
    <d v="2025-01-14T00:00:00"/>
    <n v="45450.879999999997"/>
    <n v="13073.11"/>
    <n v="32377.77"/>
    <x v="0"/>
    <x v="26"/>
    <s v="Partial"/>
    <s v="Cargo Service"/>
    <s v="LPO-5353"/>
    <s v="Due on receipt"/>
  </r>
  <r>
    <s v="INV-1114"/>
    <x v="20"/>
    <d v="2024-11-01T00:00:00"/>
    <d v="2024-11-01T00:00:00"/>
    <n v="18461.939999999999"/>
    <n v="12744.53"/>
    <n v="5717.409999999998"/>
    <x v="1"/>
    <x v="57"/>
    <s v="Partial"/>
    <s v="Charter Service"/>
    <m/>
    <s v="Due on receipt"/>
  </r>
  <r>
    <s v="INV-1115"/>
    <x v="20"/>
    <d v="2024-11-27T00:00:00"/>
    <d v="2024-11-27T00:00:00"/>
    <n v="43400.1"/>
    <n v="0"/>
    <n v="43400.1"/>
    <x v="2"/>
    <x v="58"/>
    <s v="Unpaid"/>
    <s v="Maintenance Service"/>
    <s v="LPO-5588"/>
    <s v="Due on receipt"/>
  </r>
  <r>
    <s v="INV-1116"/>
    <x v="20"/>
    <d v="2024-12-09T00:00:00"/>
    <d v="2024-12-09T00:00:00"/>
    <n v="49671.14"/>
    <n v="0"/>
    <n v="49671.14"/>
    <x v="2"/>
    <x v="42"/>
    <s v="Unpaid"/>
    <s v="Maintenance Service"/>
    <s v="LPO-5579"/>
    <s v="Due on receipt"/>
  </r>
  <r>
    <s v="INV-1117"/>
    <x v="20"/>
    <d v="2024-09-27T00:00:00"/>
    <d v="2024-09-27T00:00:00"/>
    <n v="35860.980000000003"/>
    <n v="1758.77"/>
    <n v="34102.210000000006"/>
    <x v="3"/>
    <x v="59"/>
    <s v="Partial"/>
    <s v="Catering Service"/>
    <s v="LPO-5924"/>
    <s v="Due on receipt"/>
  </r>
  <r>
    <s v="INV-1118"/>
    <x v="21"/>
    <d v="2024-10-08T00:00:00"/>
    <d v="2024-10-08T00:00:00"/>
    <n v="40948.71"/>
    <n v="14427.09"/>
    <n v="26521.62"/>
    <x v="3"/>
    <x v="60"/>
    <s v="Partial"/>
    <s v="Charter Service"/>
    <s v="LPO-5738"/>
    <s v="Due on receipt"/>
  </r>
  <r>
    <s v="INV-1119"/>
    <x v="21"/>
    <d v="2024-10-09T00:00:00"/>
    <d v="2024-10-09T00:00:00"/>
    <n v="34663.17"/>
    <n v="34663.17"/>
    <n v="0"/>
    <x v="3"/>
    <x v="27"/>
    <s v="Paid"/>
    <s v="Flight Tickets"/>
    <s v="LPO-5451"/>
    <s v="Due on receipt"/>
  </r>
  <r>
    <s v="INV-1120"/>
    <x v="21"/>
    <d v="2025-01-11T00:00:00"/>
    <d v="2025-01-11T00:00:00"/>
    <n v="31080.82"/>
    <n v="2801.42"/>
    <n v="28279.4"/>
    <x v="0"/>
    <x v="61"/>
    <s v="Partial"/>
    <s v="Maintenance Service"/>
    <m/>
    <s v="Due on receipt"/>
  </r>
  <r>
    <s v="INV-1121"/>
    <x v="21"/>
    <d v="2024-12-30T00:00:00"/>
    <d v="2024-12-30T00:00:00"/>
    <n v="40393.08"/>
    <n v="14778.11"/>
    <n v="25614.97"/>
    <x v="0"/>
    <x v="62"/>
    <s v="Partial"/>
    <s v="Charter Service"/>
    <s v="LPO-5263"/>
    <s v="Due on receipt"/>
  </r>
  <r>
    <s v="INV-1122"/>
    <x v="21"/>
    <d v="2024-09-21T00:00:00"/>
    <d v="2024-09-21T00:00:00"/>
    <n v="42111.040000000001"/>
    <n v="33962.07"/>
    <n v="8148.9700000000012"/>
    <x v="3"/>
    <x v="56"/>
    <s v="Partial"/>
    <s v="Aviation Fuel"/>
    <s v="LPO-5479"/>
    <s v="Due on receipt"/>
  </r>
  <r>
    <s v="INV-1123"/>
    <x v="22"/>
    <d v="2024-12-28T00:00:00"/>
    <d v="2024-12-28T00:00:00"/>
    <n v="38936.82"/>
    <n v="0"/>
    <n v="38936.82"/>
    <x v="0"/>
    <x v="63"/>
    <s v="Unpaid"/>
    <s v="Maintenance Service"/>
    <s v="LPO-5823"/>
    <s v="Due on receipt"/>
  </r>
  <r>
    <s v="INV-1124"/>
    <x v="22"/>
    <d v="2024-11-05T00:00:00"/>
    <d v="2024-11-05T00:00:00"/>
    <n v="21459.88"/>
    <n v="298.69"/>
    <n v="21161.19"/>
    <x v="1"/>
    <x v="19"/>
    <s v="Partial"/>
    <s v="Catering Service"/>
    <s v="LPO-5766"/>
    <s v="Due on receipt"/>
  </r>
  <r>
    <s v="INV-1125"/>
    <x v="22"/>
    <d v="2024-10-21T00:00:00"/>
    <d v="2024-10-21T00:00:00"/>
    <n v="16797.259999999998"/>
    <n v="10725.88"/>
    <n v="6071.3799999999992"/>
    <x v="1"/>
    <x v="64"/>
    <s v="Partial"/>
    <s v="Baggage Fees"/>
    <s v="LPO-5634"/>
    <s v="Due on receipt"/>
  </r>
  <r>
    <s v="INV-1126"/>
    <x v="23"/>
    <d v="2024-12-05T00:00:00"/>
    <d v="2025-01-04T00:00:00"/>
    <n v="46186.52"/>
    <n v="0"/>
    <n v="46186.52"/>
    <x v="0"/>
    <x v="49"/>
    <s v="Unpaid"/>
    <s v="Cargo Service"/>
    <s v="LPO-5475"/>
    <s v="Net 30"/>
  </r>
  <r>
    <s v="INV-1127"/>
    <x v="23"/>
    <d v="2024-09-21T00:00:00"/>
    <d v="2024-10-21T00:00:00"/>
    <n v="36548.47"/>
    <n v="4264.33"/>
    <n v="32284.14"/>
    <x v="1"/>
    <x v="64"/>
    <s v="Partial"/>
    <s v="Flight Tickets"/>
    <s v="LPO-5504"/>
    <s v="Net 30"/>
  </r>
  <r>
    <s v="INV-1128"/>
    <x v="23"/>
    <d v="2025-01-01T00:00:00"/>
    <d v="2025-01-31T00:00:00"/>
    <n v="9373.64"/>
    <n v="1271.67"/>
    <n v="8101.9699999999993"/>
    <x v="0"/>
    <x v="0"/>
    <s v="Partial"/>
    <s v="Maintenance Service"/>
    <s v="LPO-5744"/>
    <s v="Net 30"/>
  </r>
  <r>
    <s v="INV-1129"/>
    <x v="23"/>
    <d v="2024-12-27T00:00:00"/>
    <d v="2025-01-26T00:00:00"/>
    <n v="44843.62"/>
    <n v="37385.82"/>
    <n v="7457.8000000000029"/>
    <x v="0"/>
    <x v="0"/>
    <s v="Partial"/>
    <s v="Charter Service"/>
    <m/>
    <s v="Net 30"/>
  </r>
  <r>
    <s v="INV-1130"/>
    <x v="23"/>
    <d v="2024-11-29T00:00:00"/>
    <d v="2024-12-29T00:00:00"/>
    <n v="14777.14"/>
    <n v="3489.07"/>
    <n v="11288.07"/>
    <x v="0"/>
    <x v="38"/>
    <s v="Partial"/>
    <s v="Aviation Fuel"/>
    <s v="LPO-5660"/>
    <s v="Net 30"/>
  </r>
  <r>
    <s v="INV-1131"/>
    <x v="23"/>
    <d v="2024-12-01T00:00:00"/>
    <d v="2024-12-31T00:00:00"/>
    <n v="7724.75"/>
    <n v="0"/>
    <n v="7724.75"/>
    <x v="0"/>
    <x v="65"/>
    <s v="Unpaid"/>
    <s v="Cargo Service"/>
    <s v="LPO-5843"/>
    <s v="Net 30"/>
  </r>
  <r>
    <s v="INV-1132"/>
    <x v="23"/>
    <d v="2024-11-18T00:00:00"/>
    <d v="2024-12-18T00:00:00"/>
    <n v="9125.2999999999993"/>
    <n v="0"/>
    <n v="9125.2999999999993"/>
    <x v="0"/>
    <x v="66"/>
    <s v="Unpaid"/>
    <s v="Flight Tickets"/>
    <m/>
    <s v="Net 30"/>
  </r>
  <r>
    <s v="INV-1133"/>
    <x v="24"/>
    <d v="2024-12-15T00:00:00"/>
    <d v="2025-01-14T00:00:00"/>
    <n v="49496.94"/>
    <n v="49496.94"/>
    <n v="0"/>
    <x v="0"/>
    <x v="26"/>
    <s v="Paid"/>
    <s v="Baggage Fees"/>
    <s v="LPO-5832"/>
    <s v="Net 30"/>
  </r>
  <r>
    <s v="INV-1134"/>
    <x v="24"/>
    <d v="2024-09-26T00:00:00"/>
    <d v="2024-10-26T00:00:00"/>
    <n v="15484.94"/>
    <n v="12212.1"/>
    <n v="3272.84"/>
    <x v="1"/>
    <x v="17"/>
    <s v="Partial"/>
    <s v="Charter Service"/>
    <s v="LPO-5148"/>
    <s v="Net 30"/>
  </r>
  <r>
    <s v="INV-1135"/>
    <x v="24"/>
    <d v="2024-12-30T00:00:00"/>
    <d v="2025-01-29T00:00:00"/>
    <n v="29309.7"/>
    <n v="29309.7"/>
    <n v="0"/>
    <x v="0"/>
    <x v="0"/>
    <s v="Paid"/>
    <s v="VIP Lounge"/>
    <m/>
    <s v="Net 30"/>
  </r>
  <r>
    <s v="INV-1136"/>
    <x v="24"/>
    <d v="2024-10-06T00:00:00"/>
    <d v="2024-11-05T00:00:00"/>
    <n v="40479.42"/>
    <n v="638.80999999999995"/>
    <n v="39840.61"/>
    <x v="1"/>
    <x v="19"/>
    <s v="Partial"/>
    <s v="VIP Lounge"/>
    <s v="LPO-5538"/>
    <s v="Net 30"/>
  </r>
  <r>
    <s v="INV-1137"/>
    <x v="24"/>
    <d v="2025-01-01T00:00:00"/>
    <d v="2025-01-31T00:00:00"/>
    <n v="38554.94"/>
    <n v="29996.400000000001"/>
    <n v="8558.5400000000009"/>
    <x v="0"/>
    <x v="0"/>
    <s v="Partial"/>
    <s v="Cargo Service"/>
    <s v="LPO-5226"/>
    <s v="Net 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11DCB-B35E-46C8-BAF8-C9D1AE27D16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31" firstHeaderRow="1" firstDataRow="2" firstDataCol="1" rowPageCount="1" colPageCount="1"/>
  <pivotFields count="13"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umFmtId="164" showAll="0"/>
    <pivotField numFmtId="164" showAll="0"/>
    <pivotField showAll="0"/>
    <pivotField showAll="0"/>
    <pivotField dataField="1" showAll="0"/>
    <pivotField axis="axisCol" showAll="0">
      <items count="5">
        <item x="2"/>
        <item x="1"/>
        <item x="3"/>
        <item x="0"/>
        <item t="default"/>
      </items>
    </pivotField>
    <pivotField axis="axisPage" showAll="0">
      <items count="68">
        <item x="0"/>
        <item x="26"/>
        <item x="14"/>
        <item x="61"/>
        <item x="33"/>
        <item x="44"/>
        <item x="6"/>
        <item x="49"/>
        <item x="39"/>
        <item x="32"/>
        <item x="65"/>
        <item x="62"/>
        <item x="38"/>
        <item x="63"/>
        <item x="28"/>
        <item x="4"/>
        <item x="2"/>
        <item x="66"/>
        <item x="31"/>
        <item x="53"/>
        <item x="50"/>
        <item x="42"/>
        <item x="11"/>
        <item x="40"/>
        <item x="23"/>
        <item x="46"/>
        <item x="43"/>
        <item x="45"/>
        <item x="22"/>
        <item x="24"/>
        <item x="25"/>
        <item x="58"/>
        <item x="10"/>
        <item x="52"/>
        <item x="29"/>
        <item x="37"/>
        <item x="12"/>
        <item x="51"/>
        <item x="47"/>
        <item x="36"/>
        <item x="55"/>
        <item x="3"/>
        <item x="41"/>
        <item x="20"/>
        <item x="19"/>
        <item x="18"/>
        <item x="30"/>
        <item x="7"/>
        <item x="57"/>
        <item x="8"/>
        <item x="1"/>
        <item x="13"/>
        <item x="9"/>
        <item x="16"/>
        <item x="17"/>
        <item x="21"/>
        <item x="15"/>
        <item x="34"/>
        <item x="64"/>
        <item x="5"/>
        <item x="48"/>
        <item x="27"/>
        <item x="60"/>
        <item x="54"/>
        <item x="35"/>
        <item x="59"/>
        <item x="5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8" hier="-1"/>
  </pageFields>
  <dataFields count="1">
    <dataField name="Sum of Outstanding Amount (QAR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E88DD-7831-482A-A082-ADD4D139614C}" name="Table1" displayName="Table1" ref="A1:M138" totalsRowShown="0" headerRowDxfId="8" headerRowBorderDxfId="11" tableBorderDxfId="12">
  <autoFilter ref="A1:M138" xr:uid="{61AE88DD-7831-482A-A082-ADD4D139614C}"/>
  <tableColumns count="13">
    <tableColumn id="1" xr3:uid="{6E9447EC-D742-4F41-A882-E01523CA33CE}" name="Invoice Number"/>
    <tableColumn id="2" xr3:uid="{1F8E4E6E-5C6A-486C-AC63-AA7A34E0B302}" name="Customer ID"/>
    <tableColumn id="3" xr3:uid="{EF8E0A83-2A5D-405E-B4D5-58C1F3F4BBD4}" name="Invoice Date" dataDxfId="10"/>
    <tableColumn id="4" xr3:uid="{16FEEB00-2A83-4B12-A122-E47B91C5B0BC}" name="Due Date" dataDxfId="9"/>
    <tableColumn id="5" xr3:uid="{41FD281A-5871-4351-9F04-557D845B9E6F}" name="Invoice Amount (QAR)"/>
    <tableColumn id="6" xr3:uid="{484C30EE-E73C-43A3-A55F-E2D30F2B1344}" name="Paid Amount (QAR)"/>
    <tableColumn id="7" xr3:uid="{E65D0C89-0CB7-4271-A2A2-EED2FDC1337C}" name="Outstanding Amount (QAR)"/>
    <tableColumn id="8" xr3:uid="{07FE5EC9-EB15-4A3D-B6A4-AFED970A3F6D}" name="Aging Bucket"/>
    <tableColumn id="9" xr3:uid="{B72CA0E3-D797-43F2-93FE-7E47B9428D77}" name="Days Overdue"/>
    <tableColumn id="10" xr3:uid="{D312617E-8781-49BE-9D34-A9865D684E11}" name="Status"/>
    <tableColumn id="11" xr3:uid="{2C8C6ABA-F647-4AB0-AF86-CDF62ECECAD9}" name="Product/Service"/>
    <tableColumn id="12" xr3:uid="{60178F35-85CE-4938-8A65-D2E6252B4CFD}" name="LPO Number"/>
    <tableColumn id="13" xr3:uid="{6A922B93-EEE8-4C1B-8EF8-5590B02FA1A2}" name="Payment Term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13FC-8FC5-4C62-ADF0-16F6D43F9E3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698E-7A66-4536-83C3-9567498168A0}">
  <dimension ref="B1:O39"/>
  <sheetViews>
    <sheetView tabSelected="1" topLeftCell="A4" workbookViewId="0">
      <selection activeCell="K12" sqref="K12"/>
    </sheetView>
  </sheetViews>
  <sheetFormatPr defaultRowHeight="13" x14ac:dyDescent="0.3"/>
  <cols>
    <col min="1" max="1" width="8.7265625" style="8"/>
    <col min="2" max="2" width="26.54296875" style="8" bestFit="1" customWidth="1"/>
    <col min="3" max="3" width="13.26953125" style="8" bestFit="1" customWidth="1"/>
    <col min="4" max="4" width="10.90625" style="8" customWidth="1"/>
    <col min="5" max="5" width="14.54296875" style="8" bestFit="1" customWidth="1"/>
    <col min="6" max="6" width="11.6328125" style="8" bestFit="1" customWidth="1"/>
    <col min="7" max="7" width="11.81640625" style="8" customWidth="1"/>
    <col min="8" max="16384" width="8.7265625" style="8"/>
  </cols>
  <sheetData>
    <row r="1" spans="2:15" x14ac:dyDescent="0.3">
      <c r="B1" s="26" t="s">
        <v>869</v>
      </c>
      <c r="C1" s="27"/>
      <c r="D1" s="27"/>
      <c r="E1" s="27"/>
      <c r="F1" s="27"/>
      <c r="G1" s="28"/>
      <c r="H1" s="24"/>
      <c r="I1" s="24"/>
      <c r="J1" s="24"/>
      <c r="K1" s="24"/>
      <c r="L1" s="24"/>
      <c r="M1" s="24"/>
      <c r="N1" s="24"/>
      <c r="O1" s="24"/>
    </row>
    <row r="2" spans="2:15" x14ac:dyDescent="0.3">
      <c r="B2" s="33" t="s">
        <v>870</v>
      </c>
      <c r="C2" s="34">
        <f ca="1">TODAY()</f>
        <v>45997</v>
      </c>
      <c r="D2" s="35"/>
      <c r="E2" s="35"/>
      <c r="F2" s="35"/>
      <c r="G2" s="36"/>
      <c r="H2" s="24"/>
      <c r="I2" s="24"/>
      <c r="J2" s="24"/>
      <c r="K2" s="24"/>
      <c r="L2" s="24"/>
      <c r="M2" s="24"/>
      <c r="N2" s="24"/>
      <c r="O2" s="24"/>
    </row>
    <row r="3" spans="2:15" x14ac:dyDescent="0.3">
      <c r="B3" s="29"/>
      <c r="C3" s="25"/>
      <c r="D3" s="25"/>
      <c r="E3" s="25"/>
      <c r="F3" s="25"/>
      <c r="G3" s="30"/>
      <c r="H3" s="24"/>
      <c r="I3" s="24"/>
      <c r="J3" s="24"/>
      <c r="K3" s="24"/>
      <c r="L3" s="24"/>
      <c r="M3" s="24"/>
      <c r="N3" s="24"/>
      <c r="O3" s="24"/>
    </row>
    <row r="4" spans="2:15" x14ac:dyDescent="0.3">
      <c r="B4" s="29"/>
      <c r="C4" s="25"/>
      <c r="D4" s="25"/>
      <c r="E4" s="25"/>
      <c r="F4" s="25"/>
      <c r="G4" s="30"/>
      <c r="H4" s="24"/>
      <c r="I4" s="24"/>
      <c r="J4" s="24"/>
      <c r="K4" s="24"/>
      <c r="L4" s="24"/>
      <c r="M4" s="24"/>
      <c r="N4" s="24"/>
      <c r="O4" s="24"/>
    </row>
    <row r="5" spans="2:15" x14ac:dyDescent="0.3">
      <c r="B5" s="13" t="s">
        <v>126</v>
      </c>
      <c r="C5" s="13" t="s">
        <v>871</v>
      </c>
      <c r="D5" s="13" t="s">
        <v>872</v>
      </c>
      <c r="E5" s="13" t="s">
        <v>879</v>
      </c>
      <c r="F5" s="13" t="s">
        <v>873</v>
      </c>
      <c r="G5" s="13" t="s">
        <v>399</v>
      </c>
      <c r="H5" s="24"/>
      <c r="I5" s="24"/>
      <c r="J5" s="24"/>
      <c r="K5" s="24"/>
      <c r="L5" s="24"/>
      <c r="M5" s="24"/>
      <c r="N5" s="24"/>
      <c r="O5" s="24"/>
    </row>
    <row r="6" spans="2:15" x14ac:dyDescent="0.3">
      <c r="B6" s="14" t="s">
        <v>874</v>
      </c>
      <c r="C6" s="15">
        <f>GETPIVOTDATA("Outstanding Amount (QAR)",'Aging Analysis'!$A$3,"Aging Bucket","Current (0-30)")</f>
        <v>1074494.3</v>
      </c>
      <c r="D6" s="16">
        <f>IFERROR(C6/$C$10,"0.0%")</f>
        <v>0.43289698187296616</v>
      </c>
      <c r="E6" s="17">
        <f>COUNTIFS('Invoice Details'!$H:$H, "Current (0-30)", 'Invoice Details'!$G:$G, "&gt;0")</f>
        <v>50</v>
      </c>
      <c r="F6" s="18">
        <f>IFERROR(AVERAGEIFS('Invoice Details'!$I:$I, 'Invoice Details'!$H:$H, "Current (0-30)", 'Invoice Details'!$G:$G, "&gt;0"),0)</f>
        <v>5.74</v>
      </c>
      <c r="G6" s="17" t="s">
        <v>401</v>
      </c>
      <c r="H6" s="24"/>
      <c r="I6" s="24"/>
      <c r="J6" s="24"/>
      <c r="K6" s="24"/>
      <c r="L6" s="24"/>
      <c r="M6" s="24"/>
      <c r="N6" s="24"/>
      <c r="O6" s="24"/>
    </row>
    <row r="7" spans="2:15" x14ac:dyDescent="0.3">
      <c r="B7" s="14" t="s">
        <v>875</v>
      </c>
      <c r="C7" s="15">
        <f>GETPIVOTDATA("Outstanding Amount (QAR)",'Aging Analysis'!$A$3,"Aging Bucket","31-60 days")</f>
        <v>527516.94999999995</v>
      </c>
      <c r="D7" s="16">
        <f t="shared" ref="D7:D10" si="0">IFERROR(C7/$C$10,"0.0%")</f>
        <v>0.21252834523350414</v>
      </c>
      <c r="E7" s="17">
        <f>COUNTIFS('Invoice Details'!$H:$H, "31-60 days", 'Invoice Details'!$G:$G, "&gt;0")</f>
        <v>23</v>
      </c>
      <c r="F7" s="19">
        <f>IFERROR(AVERAGEIFS('Invoice Details'!$I:$I, 'Invoice Details'!$H:$H, "31-60 days", 'Invoice Details'!$G:$G, "&gt;0"),0)</f>
        <v>45.782608695652172</v>
      </c>
      <c r="G7" s="20" t="s">
        <v>402</v>
      </c>
      <c r="H7" s="24"/>
      <c r="I7" s="24"/>
      <c r="J7" s="24"/>
      <c r="K7" s="24"/>
      <c r="L7" s="24"/>
      <c r="M7" s="24"/>
      <c r="N7" s="24"/>
      <c r="O7" s="24"/>
    </row>
    <row r="8" spans="2:15" x14ac:dyDescent="0.3">
      <c r="B8" s="14" t="s">
        <v>876</v>
      </c>
      <c r="C8" s="15">
        <f>GETPIVOTDATA("Outstanding Amount (QAR)",'Aging Analysis'!$A$3,"Aging Bucket","61-90 days")</f>
        <v>725109.89</v>
      </c>
      <c r="D8" s="16">
        <f t="shared" si="0"/>
        <v>0.29213545656523121</v>
      </c>
      <c r="E8" s="17">
        <f>COUNTIFS('Invoice Details'!$H:$H, "61-90 days", 'Invoice Details'!$G:$G, "&gt;0")</f>
        <v>38</v>
      </c>
      <c r="F8" s="19">
        <f>IFERROR(AVERAGEIFS('Invoice Details'!$I:$I, 'Invoice Details'!$H:$H, "61-90 days", 'Invoice Details'!$G:$G, "&gt;0"),0)</f>
        <v>74.263157894736835</v>
      </c>
      <c r="G8" s="17" t="s">
        <v>880</v>
      </c>
      <c r="H8" s="24"/>
      <c r="I8" s="24"/>
      <c r="J8" s="24"/>
      <c r="K8" s="24"/>
      <c r="L8" s="24"/>
      <c r="M8" s="24"/>
      <c r="N8" s="24"/>
      <c r="O8" s="24"/>
    </row>
    <row r="9" spans="2:15" x14ac:dyDescent="0.3">
      <c r="B9" s="14" t="s">
        <v>877</v>
      </c>
      <c r="C9" s="15">
        <f>GETPIVOTDATA("Outstanding Amount (QAR)",'Aging Analysis'!$A$3,"Aging Bucket","90+ days")</f>
        <v>154980.48000000001</v>
      </c>
      <c r="D9" s="16">
        <f t="shared" si="0"/>
        <v>6.2439216328298436E-2</v>
      </c>
      <c r="E9" s="17">
        <f>COUNTIFS('Invoice Details'!$H:$H, "90+ days", 'Invoice Details'!$G:$G, "&gt;0")</f>
        <v>8</v>
      </c>
      <c r="F9" s="18">
        <f>IFERROR(AVERAGEIFS('Invoice Details'!$I:$I, 'Invoice Details'!$H:$H, "90+ days", 'Invoice Details'!$G:$G, "&gt;0"),0)</f>
        <v>104.875</v>
      </c>
      <c r="G9" s="17"/>
      <c r="H9" s="24"/>
      <c r="I9" s="24"/>
      <c r="J9" s="24"/>
      <c r="K9" s="24"/>
      <c r="L9" s="24"/>
      <c r="M9" s="24"/>
      <c r="N9" s="24"/>
      <c r="O9" s="24"/>
    </row>
    <row r="10" spans="2:15" x14ac:dyDescent="0.3">
      <c r="B10" s="13" t="s">
        <v>878</v>
      </c>
      <c r="C10" s="21">
        <f>SUM(C6:C9)</f>
        <v>2482101.62</v>
      </c>
      <c r="D10" s="22">
        <f t="shared" si="0"/>
        <v>1</v>
      </c>
      <c r="E10" s="23">
        <f>SUM(E6:E9)</f>
        <v>119</v>
      </c>
      <c r="F10" s="23"/>
      <c r="G10" s="23"/>
      <c r="H10" s="24"/>
      <c r="I10" s="24"/>
      <c r="J10" s="24"/>
      <c r="K10" s="24"/>
      <c r="L10" s="24"/>
      <c r="M10" s="24"/>
      <c r="N10" s="24"/>
      <c r="O10" s="24"/>
    </row>
    <row r="11" spans="2:15" x14ac:dyDescent="0.3">
      <c r="B11" s="31"/>
      <c r="C11" s="24"/>
      <c r="D11" s="24"/>
      <c r="E11" s="24"/>
      <c r="F11" s="24"/>
      <c r="G11" s="32"/>
      <c r="H11" s="24"/>
      <c r="I11" s="24"/>
      <c r="J11" s="24"/>
      <c r="K11" s="24"/>
      <c r="L11" s="24"/>
      <c r="M11" s="24"/>
      <c r="N11" s="24"/>
      <c r="O11" s="24"/>
    </row>
    <row r="12" spans="2:15" x14ac:dyDescent="0.3">
      <c r="B12" s="12" t="s">
        <v>867</v>
      </c>
      <c r="C12" s="12"/>
      <c r="D12" s="12"/>
      <c r="E12" s="12"/>
      <c r="F12" s="12"/>
      <c r="G12" s="12"/>
      <c r="H12" s="24"/>
      <c r="I12" s="24"/>
      <c r="J12" s="24"/>
      <c r="K12" s="24"/>
      <c r="L12" s="24"/>
      <c r="M12" s="24"/>
      <c r="N12" s="24"/>
      <c r="O12" s="24"/>
    </row>
    <row r="13" spans="2:15" x14ac:dyDescent="0.3">
      <c r="B13" s="12" t="s">
        <v>864</v>
      </c>
      <c r="C13" s="12" t="s">
        <v>168</v>
      </c>
      <c r="D13" s="12" t="s">
        <v>137</v>
      </c>
      <c r="E13" s="12" t="s">
        <v>230</v>
      </c>
      <c r="F13" s="12" t="s">
        <v>132</v>
      </c>
      <c r="G13" s="12" t="s">
        <v>865</v>
      </c>
      <c r="H13" s="24"/>
      <c r="I13" s="24"/>
      <c r="J13" s="24"/>
      <c r="K13" s="24"/>
      <c r="L13" s="24"/>
      <c r="M13" s="24"/>
      <c r="N13" s="24"/>
      <c r="O13" s="24"/>
    </row>
    <row r="14" spans="2:15" x14ac:dyDescent="0.3">
      <c r="B14" s="10" t="s">
        <v>8</v>
      </c>
      <c r="C14" s="9"/>
      <c r="D14" s="9">
        <v>24836.21</v>
      </c>
      <c r="E14" s="9"/>
      <c r="F14" s="9">
        <v>44043.55</v>
      </c>
      <c r="G14" s="9">
        <v>68879.760000000009</v>
      </c>
      <c r="H14" s="24"/>
      <c r="I14" s="24"/>
      <c r="J14" s="24"/>
      <c r="K14" s="24"/>
      <c r="L14" s="24"/>
      <c r="M14" s="24"/>
      <c r="N14" s="24"/>
      <c r="O14" s="24"/>
    </row>
    <row r="15" spans="2:15" x14ac:dyDescent="0.3">
      <c r="B15" s="10" t="s">
        <v>14</v>
      </c>
      <c r="C15" s="9"/>
      <c r="D15" s="9">
        <v>43191.31</v>
      </c>
      <c r="E15" s="9"/>
      <c r="F15" s="9">
        <v>121702.54000000001</v>
      </c>
      <c r="G15" s="9">
        <v>164893.85</v>
      </c>
      <c r="H15" s="24"/>
      <c r="I15" s="24"/>
      <c r="J15" s="24"/>
      <c r="K15" s="24"/>
      <c r="L15" s="24"/>
      <c r="M15" s="24"/>
      <c r="N15" s="24"/>
      <c r="O15" s="24"/>
    </row>
    <row r="16" spans="2:15" x14ac:dyDescent="0.3">
      <c r="B16" s="10" t="s">
        <v>20</v>
      </c>
      <c r="C16" s="9"/>
      <c r="D16" s="9">
        <v>16182.130000000001</v>
      </c>
      <c r="E16" s="9"/>
      <c r="F16" s="9"/>
      <c r="G16" s="9">
        <v>16182.130000000001</v>
      </c>
      <c r="H16" s="24"/>
      <c r="I16" s="24"/>
      <c r="J16" s="24"/>
      <c r="K16" s="24"/>
      <c r="L16" s="24"/>
      <c r="M16" s="24"/>
      <c r="N16" s="24"/>
      <c r="O16" s="24"/>
    </row>
    <row r="17" spans="2:15" x14ac:dyDescent="0.3">
      <c r="B17" s="10" t="s">
        <v>26</v>
      </c>
      <c r="C17" s="9">
        <v>47108.04</v>
      </c>
      <c r="D17" s="9"/>
      <c r="E17" s="9"/>
      <c r="F17" s="9">
        <v>66346.180000000008</v>
      </c>
      <c r="G17" s="9">
        <v>113454.22</v>
      </c>
      <c r="H17" s="24"/>
      <c r="I17" s="24"/>
      <c r="J17" s="24"/>
      <c r="K17" s="24"/>
      <c r="L17" s="24"/>
      <c r="M17" s="24"/>
      <c r="N17" s="24"/>
      <c r="O17" s="24"/>
    </row>
    <row r="18" spans="2:15" x14ac:dyDescent="0.3">
      <c r="B18" s="10" t="s">
        <v>32</v>
      </c>
      <c r="C18" s="9">
        <v>33540.71</v>
      </c>
      <c r="D18" s="9">
        <v>37339.24</v>
      </c>
      <c r="E18" s="9"/>
      <c r="F18" s="9">
        <v>41647.96</v>
      </c>
      <c r="G18" s="9">
        <v>112527.91</v>
      </c>
      <c r="H18" s="24"/>
      <c r="I18" s="24"/>
      <c r="J18" s="24"/>
      <c r="K18" s="24"/>
      <c r="L18" s="24"/>
      <c r="M18" s="24"/>
      <c r="N18" s="24"/>
      <c r="O18" s="24"/>
    </row>
    <row r="19" spans="2:15" x14ac:dyDescent="0.3">
      <c r="B19" s="10" t="s">
        <v>37</v>
      </c>
      <c r="C19" s="9"/>
      <c r="D19" s="9">
        <v>98974.81</v>
      </c>
      <c r="E19" s="9"/>
      <c r="F19" s="9">
        <v>69004.13</v>
      </c>
      <c r="G19" s="9">
        <v>167978.94</v>
      </c>
      <c r="H19" s="24"/>
      <c r="I19" s="24"/>
      <c r="J19" s="24"/>
      <c r="K19" s="24"/>
      <c r="L19" s="24"/>
      <c r="M19" s="24"/>
      <c r="N19" s="24"/>
      <c r="O19" s="24"/>
    </row>
    <row r="20" spans="2:15" x14ac:dyDescent="0.3">
      <c r="B20" s="10" t="s">
        <v>42</v>
      </c>
      <c r="C20" s="9">
        <v>16852.91</v>
      </c>
      <c r="D20" s="9">
        <v>48668.03</v>
      </c>
      <c r="E20" s="9"/>
      <c r="F20" s="9"/>
      <c r="G20" s="9">
        <v>65520.94</v>
      </c>
      <c r="H20" s="24"/>
      <c r="I20" s="24"/>
      <c r="J20" s="24"/>
      <c r="K20" s="24"/>
      <c r="L20" s="24"/>
      <c r="M20" s="24"/>
      <c r="N20" s="24"/>
      <c r="O20" s="24"/>
    </row>
    <row r="21" spans="2:15" x14ac:dyDescent="0.3">
      <c r="B21" s="10" t="s">
        <v>47</v>
      </c>
      <c r="C21" s="9">
        <v>15630.5</v>
      </c>
      <c r="D21" s="9"/>
      <c r="E21" s="9"/>
      <c r="F21" s="9">
        <v>23550</v>
      </c>
      <c r="G21" s="9">
        <v>39180.5</v>
      </c>
      <c r="H21" s="24"/>
      <c r="I21" s="24"/>
      <c r="J21" s="24"/>
      <c r="K21" s="24"/>
      <c r="L21" s="24"/>
      <c r="M21" s="24"/>
      <c r="N21" s="24"/>
      <c r="O21" s="24"/>
    </row>
    <row r="22" spans="2:15" x14ac:dyDescent="0.3">
      <c r="B22" s="10" t="s">
        <v>52</v>
      </c>
      <c r="C22" s="9">
        <v>62462.35</v>
      </c>
      <c r="D22" s="9">
        <v>30312.46</v>
      </c>
      <c r="E22" s="9"/>
      <c r="F22" s="9">
        <v>68694.45</v>
      </c>
      <c r="G22" s="9">
        <v>161469.26</v>
      </c>
      <c r="H22" s="24"/>
      <c r="I22" s="24"/>
      <c r="J22" s="24"/>
      <c r="K22" s="24"/>
      <c r="L22" s="24"/>
      <c r="M22" s="24"/>
      <c r="N22" s="24"/>
      <c r="O22" s="24"/>
    </row>
    <row r="23" spans="2:15" x14ac:dyDescent="0.3">
      <c r="B23" s="10" t="s">
        <v>57</v>
      </c>
      <c r="C23" s="9">
        <v>73785.8</v>
      </c>
      <c r="D23" s="9">
        <v>25569.3</v>
      </c>
      <c r="E23" s="9">
        <v>30426.639999999999</v>
      </c>
      <c r="F23" s="9">
        <v>36788.86</v>
      </c>
      <c r="G23" s="9">
        <v>166570.6</v>
      </c>
      <c r="H23" s="24"/>
      <c r="I23" s="24"/>
      <c r="J23" s="24"/>
      <c r="K23" s="24"/>
      <c r="L23" s="24"/>
      <c r="M23" s="24"/>
      <c r="N23" s="24"/>
      <c r="O23" s="24"/>
    </row>
    <row r="24" spans="2:15" x14ac:dyDescent="0.3">
      <c r="B24" s="10" t="s">
        <v>62</v>
      </c>
      <c r="C24" s="9">
        <v>18036.260000000002</v>
      </c>
      <c r="D24" s="9"/>
      <c r="E24" s="9"/>
      <c r="F24" s="9">
        <v>56425.409999999996</v>
      </c>
      <c r="G24" s="9">
        <v>74461.67</v>
      </c>
      <c r="H24" s="24"/>
      <c r="I24" s="24"/>
      <c r="J24" s="24"/>
      <c r="K24" s="24"/>
      <c r="L24" s="24"/>
      <c r="M24" s="24"/>
      <c r="N24" s="24"/>
      <c r="O24" s="24"/>
    </row>
    <row r="25" spans="2:15" x14ac:dyDescent="0.3">
      <c r="B25" s="10" t="s">
        <v>66</v>
      </c>
      <c r="C25" s="9">
        <v>8262.3800000000047</v>
      </c>
      <c r="D25" s="9">
        <v>92691.53</v>
      </c>
      <c r="E25" s="9">
        <v>2270.91</v>
      </c>
      <c r="F25" s="9">
        <v>35481.659999999996</v>
      </c>
      <c r="G25" s="9">
        <v>138706.48000000001</v>
      </c>
      <c r="H25" s="24"/>
      <c r="I25" s="24"/>
      <c r="J25" s="24"/>
      <c r="K25" s="24"/>
      <c r="L25" s="24"/>
      <c r="M25" s="24"/>
      <c r="N25" s="24"/>
      <c r="O25" s="24"/>
    </row>
    <row r="26" spans="2:15" x14ac:dyDescent="0.3">
      <c r="B26" s="10" t="s">
        <v>71</v>
      </c>
      <c r="C26" s="9">
        <v>7922.0499999999993</v>
      </c>
      <c r="D26" s="9"/>
      <c r="E26" s="9"/>
      <c r="F26" s="9">
        <v>93151.97</v>
      </c>
      <c r="G26" s="9">
        <v>101074.02</v>
      </c>
      <c r="H26" s="24"/>
      <c r="I26" s="24"/>
      <c r="J26" s="24"/>
      <c r="K26" s="24"/>
      <c r="L26" s="24"/>
      <c r="M26" s="24"/>
      <c r="N26" s="24"/>
      <c r="O26" s="24"/>
    </row>
    <row r="27" spans="2:15" x14ac:dyDescent="0.3">
      <c r="B27" s="10" t="s">
        <v>75</v>
      </c>
      <c r="C27" s="9">
        <v>52696.95</v>
      </c>
      <c r="D27" s="9">
        <v>43967.56</v>
      </c>
      <c r="E27" s="9"/>
      <c r="F27" s="9">
        <v>36860.83</v>
      </c>
      <c r="G27" s="9">
        <v>133525.34</v>
      </c>
      <c r="H27" s="24"/>
      <c r="I27" s="24"/>
      <c r="J27" s="24"/>
      <c r="K27" s="24"/>
      <c r="L27" s="24"/>
      <c r="M27" s="24"/>
      <c r="N27" s="24"/>
      <c r="O27" s="24"/>
    </row>
    <row r="28" spans="2:15" x14ac:dyDescent="0.3">
      <c r="B28" s="10" t="s">
        <v>80</v>
      </c>
      <c r="C28" s="9">
        <v>0</v>
      </c>
      <c r="D28" s="9">
        <v>184.44999999999709</v>
      </c>
      <c r="E28" s="9"/>
      <c r="F28" s="9">
        <v>38884.1</v>
      </c>
      <c r="G28" s="9">
        <v>39068.549999999996</v>
      </c>
      <c r="H28" s="24"/>
      <c r="I28" s="24"/>
      <c r="J28" s="24"/>
      <c r="K28" s="24"/>
      <c r="L28" s="24"/>
      <c r="M28" s="24"/>
      <c r="N28" s="24"/>
      <c r="O28" s="24"/>
    </row>
    <row r="29" spans="2:15" x14ac:dyDescent="0.3">
      <c r="B29" s="10" t="s">
        <v>85</v>
      </c>
      <c r="C29" s="9">
        <v>44659.199999999997</v>
      </c>
      <c r="D29" s="9"/>
      <c r="E29" s="9"/>
      <c r="F29" s="9">
        <v>46984.92</v>
      </c>
      <c r="G29" s="9">
        <v>91644.12</v>
      </c>
      <c r="H29" s="24"/>
      <c r="I29" s="24"/>
      <c r="J29" s="24"/>
      <c r="K29" s="24"/>
      <c r="L29" s="24"/>
      <c r="M29" s="24"/>
      <c r="N29" s="24"/>
      <c r="O29" s="24"/>
    </row>
    <row r="30" spans="2:15" x14ac:dyDescent="0.3">
      <c r="B30" s="10" t="s">
        <v>87</v>
      </c>
      <c r="C30" s="9">
        <v>35242.92</v>
      </c>
      <c r="D30" s="9">
        <v>6081.3399999999983</v>
      </c>
      <c r="E30" s="9">
        <v>7186.08</v>
      </c>
      <c r="F30" s="9">
        <v>17754.650000000001</v>
      </c>
      <c r="G30" s="9">
        <v>66264.989999999991</v>
      </c>
      <c r="H30" s="24"/>
      <c r="I30" s="24"/>
      <c r="J30" s="24"/>
      <c r="K30" s="24"/>
      <c r="L30" s="24"/>
      <c r="M30" s="24"/>
      <c r="N30" s="24"/>
      <c r="O30" s="24"/>
    </row>
    <row r="31" spans="2:15" x14ac:dyDescent="0.3">
      <c r="B31" s="10" t="s">
        <v>89</v>
      </c>
      <c r="C31" s="9">
        <v>12029.18</v>
      </c>
      <c r="D31" s="9">
        <v>75095.63</v>
      </c>
      <c r="E31" s="9"/>
      <c r="F31" s="9">
        <v>39199.57</v>
      </c>
      <c r="G31" s="9">
        <v>126324.38</v>
      </c>
      <c r="H31" s="24"/>
      <c r="I31" s="24"/>
      <c r="J31" s="24"/>
      <c r="K31" s="24"/>
      <c r="L31" s="24"/>
      <c r="M31" s="24"/>
      <c r="N31" s="24"/>
      <c r="O31" s="24"/>
    </row>
    <row r="32" spans="2:15" x14ac:dyDescent="0.3">
      <c r="B32" s="10" t="s">
        <v>94</v>
      </c>
      <c r="C32" s="9">
        <v>6216.4599999999991</v>
      </c>
      <c r="D32" s="9">
        <v>50736.89</v>
      </c>
      <c r="E32" s="9">
        <v>15081.98</v>
      </c>
      <c r="F32" s="9">
        <v>1672.349999999999</v>
      </c>
      <c r="G32" s="9">
        <v>73707.680000000008</v>
      </c>
      <c r="H32" s="24"/>
      <c r="I32" s="24"/>
      <c r="J32" s="24"/>
      <c r="K32" s="24"/>
      <c r="L32" s="24"/>
      <c r="M32" s="24"/>
      <c r="N32" s="24"/>
      <c r="O32" s="24"/>
    </row>
    <row r="33" spans="2:15" x14ac:dyDescent="0.3">
      <c r="B33" s="10" t="s">
        <v>98</v>
      </c>
      <c r="C33" s="9"/>
      <c r="D33" s="9">
        <v>22931.43</v>
      </c>
      <c r="E33" s="9"/>
      <c r="F33" s="9">
        <v>12649.26</v>
      </c>
      <c r="G33" s="9">
        <v>35580.69</v>
      </c>
      <c r="H33" s="24"/>
      <c r="I33" s="24"/>
      <c r="J33" s="24"/>
      <c r="K33" s="24"/>
      <c r="L33" s="24"/>
      <c r="M33" s="24"/>
      <c r="N33" s="24"/>
      <c r="O33" s="24"/>
    </row>
    <row r="34" spans="2:15" x14ac:dyDescent="0.3">
      <c r="B34" s="10" t="s">
        <v>101</v>
      </c>
      <c r="C34" s="9">
        <v>93071.239999999991</v>
      </c>
      <c r="D34" s="9">
        <v>5717.409999999998</v>
      </c>
      <c r="E34" s="9">
        <v>65344.280000000006</v>
      </c>
      <c r="F34" s="9">
        <v>32377.77</v>
      </c>
      <c r="G34" s="9">
        <v>196510.69999999998</v>
      </c>
      <c r="H34" s="24"/>
      <c r="I34" s="24"/>
      <c r="J34" s="24"/>
      <c r="K34" s="24"/>
      <c r="L34" s="24"/>
      <c r="M34" s="24"/>
      <c r="N34" s="24"/>
      <c r="O34" s="24"/>
    </row>
    <row r="35" spans="2:15" x14ac:dyDescent="0.3">
      <c r="B35" s="10" t="s">
        <v>105</v>
      </c>
      <c r="C35" s="9"/>
      <c r="D35" s="9"/>
      <c r="E35" s="9">
        <v>34670.589999999997</v>
      </c>
      <c r="F35" s="9">
        <v>53894.37</v>
      </c>
      <c r="G35" s="9">
        <v>88564.959999999992</v>
      </c>
      <c r="H35" s="24"/>
      <c r="I35" s="24"/>
      <c r="J35" s="24"/>
      <c r="K35" s="24"/>
      <c r="L35" s="24"/>
      <c r="M35" s="24"/>
      <c r="N35" s="24"/>
      <c r="O35" s="24"/>
    </row>
    <row r="36" spans="2:15" x14ac:dyDescent="0.3">
      <c r="B36" s="10" t="s">
        <v>109</v>
      </c>
      <c r="C36" s="9"/>
      <c r="D36" s="9">
        <v>27232.57</v>
      </c>
      <c r="E36" s="9"/>
      <c r="F36" s="9">
        <v>38936.82</v>
      </c>
      <c r="G36" s="9">
        <v>66169.39</v>
      </c>
      <c r="H36" s="24"/>
      <c r="I36" s="24"/>
      <c r="J36" s="24"/>
      <c r="K36" s="24"/>
      <c r="L36" s="24"/>
      <c r="M36" s="24"/>
      <c r="N36" s="24"/>
      <c r="O36" s="24"/>
    </row>
    <row r="37" spans="2:15" x14ac:dyDescent="0.3">
      <c r="B37" s="10" t="s">
        <v>111</v>
      </c>
      <c r="C37" s="9"/>
      <c r="D37" s="9">
        <v>32284.14</v>
      </c>
      <c r="E37" s="9"/>
      <c r="F37" s="9">
        <v>89884.41</v>
      </c>
      <c r="G37" s="9">
        <v>122168.55</v>
      </c>
      <c r="H37" s="24"/>
      <c r="I37" s="24"/>
      <c r="J37" s="24"/>
      <c r="K37" s="24"/>
      <c r="L37" s="24"/>
      <c r="M37" s="24"/>
      <c r="N37" s="24"/>
      <c r="O37" s="24"/>
    </row>
    <row r="38" spans="2:15" x14ac:dyDescent="0.3">
      <c r="B38" s="10" t="s">
        <v>116</v>
      </c>
      <c r="C38" s="9"/>
      <c r="D38" s="9">
        <v>43113.45</v>
      </c>
      <c r="E38" s="9"/>
      <c r="F38" s="9">
        <v>8558.5400000000009</v>
      </c>
      <c r="G38" s="9">
        <v>51671.99</v>
      </c>
      <c r="H38" s="24"/>
      <c r="I38" s="24"/>
      <c r="J38" s="24"/>
      <c r="K38" s="24"/>
      <c r="L38" s="24"/>
      <c r="M38" s="24"/>
      <c r="N38" s="24"/>
      <c r="O38" s="24"/>
    </row>
    <row r="39" spans="2:15" x14ac:dyDescent="0.3">
      <c r="B39" s="12" t="s">
        <v>865</v>
      </c>
      <c r="C39" s="11">
        <v>527516.94999999995</v>
      </c>
      <c r="D39" s="11">
        <v>725109.89</v>
      </c>
      <c r="E39" s="11">
        <v>154980.48000000001</v>
      </c>
      <c r="F39" s="11">
        <v>1074494.3</v>
      </c>
      <c r="G39" s="11">
        <v>2482101.62</v>
      </c>
      <c r="H39" s="24"/>
      <c r="I39" s="24"/>
      <c r="J39" s="24"/>
      <c r="K39" s="24"/>
      <c r="L39" s="24"/>
      <c r="M39" s="24"/>
      <c r="N39" s="24"/>
      <c r="O39" s="24"/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9F01-8EFB-4126-B698-F17F51D5D8C8}">
  <dimension ref="A2:F31"/>
  <sheetViews>
    <sheetView workbookViewId="0">
      <selection activeCell="A2" sqref="A2:F31"/>
    </sheetView>
  </sheetViews>
  <sheetFormatPr defaultRowHeight="14.5" x14ac:dyDescent="0.35"/>
  <cols>
    <col min="1" max="1" width="30.54296875" bestFit="1" customWidth="1"/>
    <col min="2" max="2" width="15.26953125" style="6" bestFit="1" customWidth="1"/>
    <col min="3" max="4" width="11.1796875" style="6" bestFit="1" customWidth="1"/>
    <col min="5" max="5" width="12.6328125" style="6" bestFit="1" customWidth="1"/>
    <col min="6" max="6" width="12.7265625" style="6" bestFit="1" customWidth="1"/>
  </cols>
  <sheetData>
    <row r="2" spans="1:6" x14ac:dyDescent="0.35">
      <c r="A2" s="4" t="s">
        <v>127</v>
      </c>
      <c r="B2" s="6" t="s">
        <v>868</v>
      </c>
    </row>
    <row r="4" spans="1:6" x14ac:dyDescent="0.35">
      <c r="A4" s="4" t="s">
        <v>867</v>
      </c>
      <c r="B4" s="7" t="s">
        <v>866</v>
      </c>
    </row>
    <row r="5" spans="1:6" x14ac:dyDescent="0.35">
      <c r="A5" s="4" t="s">
        <v>864</v>
      </c>
      <c r="B5" s="6" t="s">
        <v>168</v>
      </c>
      <c r="C5" s="6" t="s">
        <v>137</v>
      </c>
      <c r="D5" s="6" t="s">
        <v>230</v>
      </c>
      <c r="E5" s="6" t="s">
        <v>132</v>
      </c>
      <c r="F5" s="6" t="s">
        <v>865</v>
      </c>
    </row>
    <row r="6" spans="1:6" x14ac:dyDescent="0.35">
      <c r="A6" s="5" t="s">
        <v>8</v>
      </c>
      <c r="C6" s="6">
        <v>24836.21</v>
      </c>
      <c r="E6" s="6">
        <v>44043.55</v>
      </c>
      <c r="F6" s="6">
        <v>68879.760000000009</v>
      </c>
    </row>
    <row r="7" spans="1:6" x14ac:dyDescent="0.35">
      <c r="A7" s="5" t="s">
        <v>14</v>
      </c>
      <c r="C7" s="6">
        <v>43191.31</v>
      </c>
      <c r="E7" s="6">
        <v>121702.54000000001</v>
      </c>
      <c r="F7" s="6">
        <v>164893.85</v>
      </c>
    </row>
    <row r="8" spans="1:6" x14ac:dyDescent="0.35">
      <c r="A8" s="5" t="s">
        <v>20</v>
      </c>
      <c r="C8" s="6">
        <v>16182.130000000001</v>
      </c>
      <c r="F8" s="6">
        <v>16182.130000000001</v>
      </c>
    </row>
    <row r="9" spans="1:6" x14ac:dyDescent="0.35">
      <c r="A9" s="5" t="s">
        <v>26</v>
      </c>
      <c r="B9" s="6">
        <v>47108.04</v>
      </c>
      <c r="E9" s="6">
        <v>66346.180000000008</v>
      </c>
      <c r="F9" s="6">
        <v>113454.22</v>
      </c>
    </row>
    <row r="10" spans="1:6" x14ac:dyDescent="0.35">
      <c r="A10" s="5" t="s">
        <v>32</v>
      </c>
      <c r="B10" s="6">
        <v>33540.71</v>
      </c>
      <c r="C10" s="6">
        <v>37339.24</v>
      </c>
      <c r="E10" s="6">
        <v>41647.96</v>
      </c>
      <c r="F10" s="6">
        <v>112527.91</v>
      </c>
    </row>
    <row r="11" spans="1:6" x14ac:dyDescent="0.35">
      <c r="A11" s="5" t="s">
        <v>37</v>
      </c>
      <c r="C11" s="6">
        <v>98974.81</v>
      </c>
      <c r="E11" s="6">
        <v>69004.13</v>
      </c>
      <c r="F11" s="6">
        <v>167978.94</v>
      </c>
    </row>
    <row r="12" spans="1:6" x14ac:dyDescent="0.35">
      <c r="A12" s="5" t="s">
        <v>42</v>
      </c>
      <c r="B12" s="6">
        <v>16852.91</v>
      </c>
      <c r="C12" s="6">
        <v>48668.03</v>
      </c>
      <c r="F12" s="6">
        <v>65520.94</v>
      </c>
    </row>
    <row r="13" spans="1:6" x14ac:dyDescent="0.35">
      <c r="A13" s="5" t="s">
        <v>47</v>
      </c>
      <c r="B13" s="6">
        <v>15630.5</v>
      </c>
      <c r="E13" s="6">
        <v>23550</v>
      </c>
      <c r="F13" s="6">
        <v>39180.5</v>
      </c>
    </row>
    <row r="14" spans="1:6" x14ac:dyDescent="0.35">
      <c r="A14" s="5" t="s">
        <v>52</v>
      </c>
      <c r="B14" s="6">
        <v>62462.35</v>
      </c>
      <c r="C14" s="6">
        <v>30312.46</v>
      </c>
      <c r="E14" s="6">
        <v>68694.45</v>
      </c>
      <c r="F14" s="6">
        <v>161469.26</v>
      </c>
    </row>
    <row r="15" spans="1:6" x14ac:dyDescent="0.35">
      <c r="A15" s="5" t="s">
        <v>57</v>
      </c>
      <c r="B15" s="6">
        <v>73785.8</v>
      </c>
      <c r="C15" s="6">
        <v>25569.3</v>
      </c>
      <c r="D15" s="6">
        <v>30426.639999999999</v>
      </c>
      <c r="E15" s="6">
        <v>36788.86</v>
      </c>
      <c r="F15" s="6">
        <v>166570.6</v>
      </c>
    </row>
    <row r="16" spans="1:6" x14ac:dyDescent="0.35">
      <c r="A16" s="5" t="s">
        <v>62</v>
      </c>
      <c r="B16" s="6">
        <v>18036.260000000002</v>
      </c>
      <c r="E16" s="6">
        <v>56425.409999999996</v>
      </c>
      <c r="F16" s="6">
        <v>74461.67</v>
      </c>
    </row>
    <row r="17" spans="1:6" x14ac:dyDescent="0.35">
      <c r="A17" s="5" t="s">
        <v>66</v>
      </c>
      <c r="B17" s="6">
        <v>8262.3800000000047</v>
      </c>
      <c r="C17" s="6">
        <v>92691.53</v>
      </c>
      <c r="D17" s="6">
        <v>2270.91</v>
      </c>
      <c r="E17" s="6">
        <v>35481.659999999996</v>
      </c>
      <c r="F17" s="6">
        <v>138706.48000000001</v>
      </c>
    </row>
    <row r="18" spans="1:6" x14ac:dyDescent="0.35">
      <c r="A18" s="5" t="s">
        <v>71</v>
      </c>
      <c r="B18" s="6">
        <v>7922.0499999999993</v>
      </c>
      <c r="E18" s="6">
        <v>93151.97</v>
      </c>
      <c r="F18" s="6">
        <v>101074.02</v>
      </c>
    </row>
    <row r="19" spans="1:6" x14ac:dyDescent="0.35">
      <c r="A19" s="5" t="s">
        <v>75</v>
      </c>
      <c r="B19" s="6">
        <v>52696.95</v>
      </c>
      <c r="C19" s="6">
        <v>43967.56</v>
      </c>
      <c r="E19" s="6">
        <v>36860.83</v>
      </c>
      <c r="F19" s="6">
        <v>133525.34</v>
      </c>
    </row>
    <row r="20" spans="1:6" x14ac:dyDescent="0.35">
      <c r="A20" s="5" t="s">
        <v>80</v>
      </c>
      <c r="B20" s="6">
        <v>0</v>
      </c>
      <c r="C20" s="6">
        <v>184.44999999999709</v>
      </c>
      <c r="E20" s="6">
        <v>38884.1</v>
      </c>
      <c r="F20" s="6">
        <v>39068.549999999996</v>
      </c>
    </row>
    <row r="21" spans="1:6" x14ac:dyDescent="0.35">
      <c r="A21" s="5" t="s">
        <v>85</v>
      </c>
      <c r="B21" s="6">
        <v>44659.199999999997</v>
      </c>
      <c r="E21" s="6">
        <v>46984.92</v>
      </c>
      <c r="F21" s="6">
        <v>91644.12</v>
      </c>
    </row>
    <row r="22" spans="1:6" x14ac:dyDescent="0.35">
      <c r="A22" s="5" t="s">
        <v>87</v>
      </c>
      <c r="B22" s="6">
        <v>35242.92</v>
      </c>
      <c r="C22" s="6">
        <v>6081.3399999999983</v>
      </c>
      <c r="D22" s="6">
        <v>7186.08</v>
      </c>
      <c r="E22" s="6">
        <v>17754.650000000001</v>
      </c>
      <c r="F22" s="6">
        <v>66264.989999999991</v>
      </c>
    </row>
    <row r="23" spans="1:6" x14ac:dyDescent="0.35">
      <c r="A23" s="5" t="s">
        <v>89</v>
      </c>
      <c r="B23" s="6">
        <v>12029.18</v>
      </c>
      <c r="C23" s="6">
        <v>75095.63</v>
      </c>
      <c r="E23" s="6">
        <v>39199.57</v>
      </c>
      <c r="F23" s="6">
        <v>126324.38</v>
      </c>
    </row>
    <row r="24" spans="1:6" x14ac:dyDescent="0.35">
      <c r="A24" s="5" t="s">
        <v>94</v>
      </c>
      <c r="B24" s="6">
        <v>6216.4599999999991</v>
      </c>
      <c r="C24" s="6">
        <v>50736.89</v>
      </c>
      <c r="D24" s="6">
        <v>15081.98</v>
      </c>
      <c r="E24" s="6">
        <v>1672.349999999999</v>
      </c>
      <c r="F24" s="6">
        <v>73707.680000000008</v>
      </c>
    </row>
    <row r="25" spans="1:6" x14ac:dyDescent="0.35">
      <c r="A25" s="5" t="s">
        <v>98</v>
      </c>
      <c r="C25" s="6">
        <v>22931.43</v>
      </c>
      <c r="E25" s="6">
        <v>12649.26</v>
      </c>
      <c r="F25" s="6">
        <v>35580.69</v>
      </c>
    </row>
    <row r="26" spans="1:6" x14ac:dyDescent="0.35">
      <c r="A26" s="5" t="s">
        <v>101</v>
      </c>
      <c r="B26" s="6">
        <v>93071.239999999991</v>
      </c>
      <c r="C26" s="6">
        <v>5717.409999999998</v>
      </c>
      <c r="D26" s="6">
        <v>65344.280000000006</v>
      </c>
      <c r="E26" s="6">
        <v>32377.77</v>
      </c>
      <c r="F26" s="6">
        <v>196510.69999999998</v>
      </c>
    </row>
    <row r="27" spans="1:6" x14ac:dyDescent="0.35">
      <c r="A27" s="5" t="s">
        <v>105</v>
      </c>
      <c r="D27" s="6">
        <v>34670.589999999997</v>
      </c>
      <c r="E27" s="6">
        <v>53894.37</v>
      </c>
      <c r="F27" s="6">
        <v>88564.959999999992</v>
      </c>
    </row>
    <row r="28" spans="1:6" x14ac:dyDescent="0.35">
      <c r="A28" s="5" t="s">
        <v>109</v>
      </c>
      <c r="C28" s="6">
        <v>27232.57</v>
      </c>
      <c r="E28" s="6">
        <v>38936.82</v>
      </c>
      <c r="F28" s="6">
        <v>66169.39</v>
      </c>
    </row>
    <row r="29" spans="1:6" x14ac:dyDescent="0.35">
      <c r="A29" s="5" t="s">
        <v>111</v>
      </c>
      <c r="C29" s="6">
        <v>32284.14</v>
      </c>
      <c r="E29" s="6">
        <v>89884.41</v>
      </c>
      <c r="F29" s="6">
        <v>122168.55</v>
      </c>
    </row>
    <row r="30" spans="1:6" x14ac:dyDescent="0.35">
      <c r="A30" s="5" t="s">
        <v>116</v>
      </c>
      <c r="C30" s="6">
        <v>43113.45</v>
      </c>
      <c r="E30" s="6">
        <v>8558.5400000000009</v>
      </c>
      <c r="F30" s="6">
        <v>51671.99</v>
      </c>
    </row>
    <row r="31" spans="1:6" x14ac:dyDescent="0.35">
      <c r="A31" s="5" t="s">
        <v>865</v>
      </c>
      <c r="B31" s="6">
        <v>527516.94999999995</v>
      </c>
      <c r="C31" s="6">
        <v>725109.89</v>
      </c>
      <c r="D31" s="6">
        <v>154980.48000000001</v>
      </c>
      <c r="E31" s="6">
        <v>1074494.3</v>
      </c>
      <c r="F31" s="6">
        <v>2482101.62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9</v>
      </c>
      <c r="E2" t="s">
        <v>11</v>
      </c>
      <c r="F2" t="s">
        <v>12</v>
      </c>
      <c r="G2">
        <v>100000</v>
      </c>
      <c r="H2" t="s">
        <v>13</v>
      </c>
    </row>
    <row r="3" spans="1:8" x14ac:dyDescent="0.35">
      <c r="A3" t="s">
        <v>14</v>
      </c>
      <c r="B3" t="s">
        <v>15</v>
      </c>
      <c r="C3" t="s">
        <v>16</v>
      </c>
      <c r="D3" t="s">
        <v>15</v>
      </c>
      <c r="E3" t="s">
        <v>17</v>
      </c>
      <c r="F3" t="s">
        <v>18</v>
      </c>
      <c r="G3">
        <v>50000</v>
      </c>
      <c r="H3" t="s">
        <v>19</v>
      </c>
    </row>
    <row r="4" spans="1:8" x14ac:dyDescent="0.35">
      <c r="A4" t="s">
        <v>20</v>
      </c>
      <c r="B4" t="s">
        <v>21</v>
      </c>
      <c r="C4" t="s">
        <v>22</v>
      </c>
      <c r="D4" t="s">
        <v>21</v>
      </c>
      <c r="E4" t="s">
        <v>23</v>
      </c>
      <c r="F4" t="s">
        <v>24</v>
      </c>
      <c r="G4">
        <v>250000</v>
      </c>
      <c r="H4" t="s">
        <v>25</v>
      </c>
    </row>
    <row r="5" spans="1:8" x14ac:dyDescent="0.35">
      <c r="A5" t="s">
        <v>26</v>
      </c>
      <c r="B5" t="s">
        <v>27</v>
      </c>
      <c r="C5" t="s">
        <v>28</v>
      </c>
      <c r="D5" t="s">
        <v>27</v>
      </c>
      <c r="E5" t="s">
        <v>29</v>
      </c>
      <c r="F5" t="s">
        <v>30</v>
      </c>
      <c r="G5">
        <v>200000</v>
      </c>
      <c r="H5" t="s">
        <v>31</v>
      </c>
    </row>
    <row r="6" spans="1:8" x14ac:dyDescent="0.35">
      <c r="A6" t="s">
        <v>32</v>
      </c>
      <c r="B6" t="s">
        <v>33</v>
      </c>
      <c r="C6" t="s">
        <v>34</v>
      </c>
      <c r="D6" t="s">
        <v>33</v>
      </c>
      <c r="E6" t="s">
        <v>35</v>
      </c>
      <c r="F6" t="s">
        <v>36</v>
      </c>
      <c r="G6">
        <v>200000</v>
      </c>
      <c r="H6" t="s">
        <v>19</v>
      </c>
    </row>
    <row r="7" spans="1:8" x14ac:dyDescent="0.35">
      <c r="A7" t="s">
        <v>37</v>
      </c>
      <c r="B7" t="s">
        <v>38</v>
      </c>
      <c r="C7" t="s">
        <v>39</v>
      </c>
      <c r="D7" t="s">
        <v>38</v>
      </c>
      <c r="E7" t="s">
        <v>40</v>
      </c>
      <c r="F7" t="s">
        <v>41</v>
      </c>
      <c r="G7">
        <v>250000</v>
      </c>
      <c r="H7" t="s">
        <v>19</v>
      </c>
    </row>
    <row r="8" spans="1:8" x14ac:dyDescent="0.35">
      <c r="A8" t="s">
        <v>42</v>
      </c>
      <c r="B8" t="s">
        <v>43</v>
      </c>
      <c r="C8" t="s">
        <v>44</v>
      </c>
      <c r="D8" t="s">
        <v>43</v>
      </c>
      <c r="E8" t="s">
        <v>45</v>
      </c>
      <c r="F8" t="s">
        <v>46</v>
      </c>
      <c r="G8">
        <v>50000</v>
      </c>
      <c r="H8" t="s">
        <v>19</v>
      </c>
    </row>
    <row r="9" spans="1:8" x14ac:dyDescent="0.35">
      <c r="A9" t="s">
        <v>47</v>
      </c>
      <c r="B9" t="s">
        <v>48</v>
      </c>
      <c r="C9" t="s">
        <v>49</v>
      </c>
      <c r="D9" t="s">
        <v>48</v>
      </c>
      <c r="E9" t="s">
        <v>50</v>
      </c>
      <c r="F9" t="s">
        <v>51</v>
      </c>
      <c r="G9">
        <v>200000</v>
      </c>
      <c r="H9" t="s">
        <v>31</v>
      </c>
    </row>
    <row r="10" spans="1:8" x14ac:dyDescent="0.35">
      <c r="A10" t="s">
        <v>52</v>
      </c>
      <c r="B10" t="s">
        <v>53</v>
      </c>
      <c r="C10" t="s">
        <v>54</v>
      </c>
      <c r="D10" t="s">
        <v>53</v>
      </c>
      <c r="E10" t="s">
        <v>55</v>
      </c>
      <c r="F10" t="s">
        <v>56</v>
      </c>
      <c r="G10">
        <v>150000</v>
      </c>
      <c r="H10" t="s">
        <v>19</v>
      </c>
    </row>
    <row r="11" spans="1:8" x14ac:dyDescent="0.35">
      <c r="A11" t="s">
        <v>57</v>
      </c>
      <c r="B11" t="s">
        <v>58</v>
      </c>
      <c r="C11" t="s">
        <v>59</v>
      </c>
      <c r="D11" t="s">
        <v>58</v>
      </c>
      <c r="E11" t="s">
        <v>60</v>
      </c>
      <c r="F11" t="s">
        <v>61</v>
      </c>
      <c r="G11">
        <v>200000</v>
      </c>
      <c r="H11" t="s">
        <v>25</v>
      </c>
    </row>
    <row r="12" spans="1:8" x14ac:dyDescent="0.35">
      <c r="A12" t="s">
        <v>62</v>
      </c>
      <c r="B12" t="s">
        <v>33</v>
      </c>
      <c r="C12" t="s">
        <v>63</v>
      </c>
      <c r="D12" t="s">
        <v>33</v>
      </c>
      <c r="E12" t="s">
        <v>64</v>
      </c>
      <c r="F12" t="s">
        <v>65</v>
      </c>
      <c r="G12">
        <v>100000</v>
      </c>
      <c r="H12" t="s">
        <v>19</v>
      </c>
    </row>
    <row r="13" spans="1:8" x14ac:dyDescent="0.35">
      <c r="A13" t="s">
        <v>66</v>
      </c>
      <c r="B13" t="s">
        <v>67</v>
      </c>
      <c r="C13" t="s">
        <v>68</v>
      </c>
      <c r="D13" t="s">
        <v>67</v>
      </c>
      <c r="E13" t="s">
        <v>69</v>
      </c>
      <c r="F13" t="s">
        <v>70</v>
      </c>
      <c r="G13">
        <v>100000</v>
      </c>
      <c r="H13" t="s">
        <v>25</v>
      </c>
    </row>
    <row r="14" spans="1:8" x14ac:dyDescent="0.35">
      <c r="A14" t="s">
        <v>71</v>
      </c>
      <c r="B14" t="s">
        <v>43</v>
      </c>
      <c r="C14" t="s">
        <v>72</v>
      </c>
      <c r="D14" t="s">
        <v>43</v>
      </c>
      <c r="E14" t="s">
        <v>73</v>
      </c>
      <c r="F14" t="s">
        <v>74</v>
      </c>
      <c r="G14">
        <v>250000</v>
      </c>
      <c r="H14" t="s">
        <v>31</v>
      </c>
    </row>
    <row r="15" spans="1:8" x14ac:dyDescent="0.35">
      <c r="A15" t="s">
        <v>75</v>
      </c>
      <c r="B15" t="s">
        <v>76</v>
      </c>
      <c r="C15" t="s">
        <v>77</v>
      </c>
      <c r="D15" t="s">
        <v>76</v>
      </c>
      <c r="E15" t="s">
        <v>78</v>
      </c>
      <c r="F15" t="s">
        <v>79</v>
      </c>
      <c r="G15">
        <v>100000</v>
      </c>
      <c r="H15" t="s">
        <v>25</v>
      </c>
    </row>
    <row r="16" spans="1:8" x14ac:dyDescent="0.35">
      <c r="A16" t="s">
        <v>80</v>
      </c>
      <c r="B16" t="s">
        <v>81</v>
      </c>
      <c r="C16" t="s">
        <v>82</v>
      </c>
      <c r="D16" t="s">
        <v>81</v>
      </c>
      <c r="E16" t="s">
        <v>83</v>
      </c>
      <c r="F16" t="s">
        <v>84</v>
      </c>
      <c r="G16">
        <v>250000</v>
      </c>
      <c r="H16" t="s">
        <v>19</v>
      </c>
    </row>
    <row r="17" spans="1:8" x14ac:dyDescent="0.35">
      <c r="A17" t="s">
        <v>85</v>
      </c>
      <c r="B17" t="s">
        <v>43</v>
      </c>
      <c r="C17" t="s">
        <v>77</v>
      </c>
      <c r="D17" t="s">
        <v>43</v>
      </c>
      <c r="E17" t="s">
        <v>86</v>
      </c>
      <c r="F17" t="s">
        <v>79</v>
      </c>
      <c r="G17">
        <v>250000</v>
      </c>
      <c r="H17" t="s">
        <v>19</v>
      </c>
    </row>
    <row r="18" spans="1:8" x14ac:dyDescent="0.35">
      <c r="A18" t="s">
        <v>87</v>
      </c>
      <c r="B18" t="s">
        <v>48</v>
      </c>
      <c r="C18" t="s">
        <v>44</v>
      </c>
      <c r="D18" t="s">
        <v>48</v>
      </c>
      <c r="E18" t="s">
        <v>88</v>
      </c>
      <c r="F18" t="s">
        <v>46</v>
      </c>
      <c r="G18">
        <v>150000</v>
      </c>
      <c r="H18" t="s">
        <v>25</v>
      </c>
    </row>
    <row r="19" spans="1:8" x14ac:dyDescent="0.35">
      <c r="A19" t="s">
        <v>89</v>
      </c>
      <c r="B19" t="s">
        <v>90</v>
      </c>
      <c r="C19" t="s">
        <v>91</v>
      </c>
      <c r="D19" t="s">
        <v>90</v>
      </c>
      <c r="E19" t="s">
        <v>92</v>
      </c>
      <c r="F19" t="s">
        <v>93</v>
      </c>
      <c r="G19">
        <v>100000</v>
      </c>
      <c r="H19" t="s">
        <v>19</v>
      </c>
    </row>
    <row r="20" spans="1:8" x14ac:dyDescent="0.35">
      <c r="A20" t="s">
        <v>94</v>
      </c>
      <c r="B20" t="s">
        <v>9</v>
      </c>
      <c r="C20" t="s">
        <v>95</v>
      </c>
      <c r="D20" t="s">
        <v>9</v>
      </c>
      <c r="E20" t="s">
        <v>96</v>
      </c>
      <c r="F20" t="s">
        <v>97</v>
      </c>
      <c r="G20">
        <v>150000</v>
      </c>
      <c r="H20" t="s">
        <v>13</v>
      </c>
    </row>
    <row r="21" spans="1:8" x14ac:dyDescent="0.35">
      <c r="A21" t="s">
        <v>98</v>
      </c>
      <c r="B21" t="s">
        <v>99</v>
      </c>
      <c r="C21" t="s">
        <v>16</v>
      </c>
      <c r="D21" t="s">
        <v>99</v>
      </c>
      <c r="E21" t="s">
        <v>100</v>
      </c>
      <c r="F21" t="s">
        <v>18</v>
      </c>
      <c r="G21">
        <v>50000</v>
      </c>
      <c r="H21" t="s">
        <v>19</v>
      </c>
    </row>
    <row r="22" spans="1:8" x14ac:dyDescent="0.35">
      <c r="A22" t="s">
        <v>101</v>
      </c>
      <c r="B22" t="s">
        <v>38</v>
      </c>
      <c r="C22" t="s">
        <v>102</v>
      </c>
      <c r="D22" t="s">
        <v>38</v>
      </c>
      <c r="E22" t="s">
        <v>103</v>
      </c>
      <c r="F22" t="s">
        <v>104</v>
      </c>
      <c r="G22">
        <v>50000</v>
      </c>
      <c r="H22" t="s">
        <v>25</v>
      </c>
    </row>
    <row r="23" spans="1:8" x14ac:dyDescent="0.35">
      <c r="A23" t="s">
        <v>105</v>
      </c>
      <c r="B23" t="s">
        <v>81</v>
      </c>
      <c r="C23" t="s">
        <v>106</v>
      </c>
      <c r="D23" t="s">
        <v>81</v>
      </c>
      <c r="E23" t="s">
        <v>107</v>
      </c>
      <c r="F23" t="s">
        <v>108</v>
      </c>
      <c r="G23">
        <v>150000</v>
      </c>
      <c r="H23" t="s">
        <v>25</v>
      </c>
    </row>
    <row r="24" spans="1:8" x14ac:dyDescent="0.35">
      <c r="A24" t="s">
        <v>109</v>
      </c>
      <c r="B24" t="s">
        <v>21</v>
      </c>
      <c r="C24" t="s">
        <v>63</v>
      </c>
      <c r="D24" t="s">
        <v>21</v>
      </c>
      <c r="E24" t="s">
        <v>110</v>
      </c>
      <c r="F24" t="s">
        <v>65</v>
      </c>
      <c r="G24">
        <v>150000</v>
      </c>
      <c r="H24" t="s">
        <v>25</v>
      </c>
    </row>
    <row r="25" spans="1:8" x14ac:dyDescent="0.35">
      <c r="A25" t="s">
        <v>111</v>
      </c>
      <c r="B25" t="s">
        <v>112</v>
      </c>
      <c r="C25" t="s">
        <v>113</v>
      </c>
      <c r="D25" t="s">
        <v>112</v>
      </c>
      <c r="E25" t="s">
        <v>114</v>
      </c>
      <c r="F25" t="s">
        <v>115</v>
      </c>
      <c r="G25">
        <v>150000</v>
      </c>
      <c r="H25" t="s">
        <v>19</v>
      </c>
    </row>
    <row r="26" spans="1:8" x14ac:dyDescent="0.35">
      <c r="A26" t="s">
        <v>116</v>
      </c>
      <c r="B26" t="s">
        <v>76</v>
      </c>
      <c r="C26" t="s">
        <v>117</v>
      </c>
      <c r="D26" t="s">
        <v>76</v>
      </c>
      <c r="E26" t="s">
        <v>118</v>
      </c>
      <c r="F26" t="s">
        <v>119</v>
      </c>
      <c r="G26">
        <v>50000</v>
      </c>
      <c r="H26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8"/>
  <sheetViews>
    <sheetView topLeftCell="A2" workbookViewId="0">
      <selection sqref="A1:M138"/>
    </sheetView>
  </sheetViews>
  <sheetFormatPr defaultRowHeight="14.5" x14ac:dyDescent="0.35"/>
  <cols>
    <col min="1" max="1" width="16" customWidth="1"/>
    <col min="2" max="2" width="13.26953125" customWidth="1"/>
    <col min="3" max="3" width="13.1796875" customWidth="1"/>
    <col min="4" max="4" width="10.6328125" customWidth="1"/>
    <col min="5" max="5" width="21.36328125" customWidth="1"/>
    <col min="6" max="6" width="19.08984375" customWidth="1"/>
    <col min="7" max="7" width="25.81640625" customWidth="1"/>
    <col min="8" max="8" width="13.54296875" customWidth="1"/>
    <col min="9" max="9" width="14.453125" customWidth="1"/>
    <col min="11" max="11" width="16.08984375" customWidth="1"/>
    <col min="12" max="12" width="13.36328125" customWidth="1"/>
    <col min="13" max="13" width="15.90625" customWidth="1"/>
  </cols>
  <sheetData>
    <row r="1" spans="1:13" x14ac:dyDescent="0.35">
      <c r="A1" s="3" t="s">
        <v>120</v>
      </c>
      <c r="B1" s="3" t="s">
        <v>0</v>
      </c>
      <c r="C1" s="3" t="s">
        <v>121</v>
      </c>
      <c r="D1" s="3" t="s">
        <v>122</v>
      </c>
      <c r="E1" s="3" t="s">
        <v>123</v>
      </c>
      <c r="F1" s="3" t="s">
        <v>124</v>
      </c>
      <c r="G1" s="3" t="s">
        <v>125</v>
      </c>
      <c r="H1" s="3" t="s">
        <v>126</v>
      </c>
      <c r="I1" s="3" t="s">
        <v>127</v>
      </c>
      <c r="J1" s="3" t="s">
        <v>128</v>
      </c>
      <c r="K1" s="3" t="s">
        <v>129</v>
      </c>
      <c r="L1" s="3" t="s">
        <v>130</v>
      </c>
      <c r="M1" s="3" t="s">
        <v>7</v>
      </c>
    </row>
    <row r="2" spans="1:13" x14ac:dyDescent="0.35">
      <c r="A2" t="s">
        <v>131</v>
      </c>
      <c r="B2" t="s">
        <v>8</v>
      </c>
      <c r="C2" s="2">
        <v>45664</v>
      </c>
      <c r="D2" s="2">
        <v>45679</v>
      </c>
      <c r="E2">
        <v>45743.9</v>
      </c>
      <c r="F2">
        <v>3241.29</v>
      </c>
      <c r="G2">
        <v>42502.61</v>
      </c>
      <c r="H2" t="s">
        <v>132</v>
      </c>
      <c r="I2">
        <v>0</v>
      </c>
      <c r="J2" t="s">
        <v>133</v>
      </c>
      <c r="K2" t="s">
        <v>134</v>
      </c>
      <c r="L2" t="s">
        <v>135</v>
      </c>
      <c r="M2" t="s">
        <v>13</v>
      </c>
    </row>
    <row r="3" spans="1:13" x14ac:dyDescent="0.35">
      <c r="A3" t="s">
        <v>136</v>
      </c>
      <c r="B3" t="s">
        <v>8</v>
      </c>
      <c r="C3" s="2">
        <v>45580</v>
      </c>
      <c r="D3" s="2">
        <v>45595</v>
      </c>
      <c r="E3">
        <v>47098.14</v>
      </c>
      <c r="F3">
        <v>22261.93</v>
      </c>
      <c r="G3">
        <v>24836.21</v>
      </c>
      <c r="H3" t="s">
        <v>137</v>
      </c>
      <c r="I3">
        <v>77</v>
      </c>
      <c r="J3" t="s">
        <v>133</v>
      </c>
      <c r="K3" t="s">
        <v>138</v>
      </c>
      <c r="M3" t="s">
        <v>13</v>
      </c>
    </row>
    <row r="4" spans="1:13" x14ac:dyDescent="0.35">
      <c r="A4" t="s">
        <v>139</v>
      </c>
      <c r="B4" t="s">
        <v>8</v>
      </c>
      <c r="C4" s="2">
        <v>45660</v>
      </c>
      <c r="D4" s="2">
        <v>45675</v>
      </c>
      <c r="E4">
        <v>34654.22</v>
      </c>
      <c r="F4">
        <v>34654.22</v>
      </c>
      <c r="G4">
        <v>0</v>
      </c>
      <c r="H4" t="s">
        <v>132</v>
      </c>
      <c r="I4">
        <v>0</v>
      </c>
      <c r="J4" t="s">
        <v>140</v>
      </c>
      <c r="K4" t="s">
        <v>141</v>
      </c>
      <c r="L4" t="s">
        <v>142</v>
      </c>
      <c r="M4" t="s">
        <v>13</v>
      </c>
    </row>
    <row r="5" spans="1:13" x14ac:dyDescent="0.35">
      <c r="A5" t="s">
        <v>143</v>
      </c>
      <c r="B5" t="s">
        <v>8</v>
      </c>
      <c r="C5" s="2">
        <v>45660</v>
      </c>
      <c r="D5" s="2">
        <v>45675</v>
      </c>
      <c r="E5">
        <v>7727.57</v>
      </c>
      <c r="F5">
        <v>6186.63</v>
      </c>
      <c r="G5">
        <v>1540.94</v>
      </c>
      <c r="H5" t="s">
        <v>132</v>
      </c>
      <c r="I5">
        <v>0</v>
      </c>
      <c r="J5" t="s">
        <v>133</v>
      </c>
      <c r="K5" t="s">
        <v>144</v>
      </c>
      <c r="M5" t="s">
        <v>13</v>
      </c>
    </row>
    <row r="6" spans="1:13" x14ac:dyDescent="0.35">
      <c r="A6" t="s">
        <v>145</v>
      </c>
      <c r="B6" t="s">
        <v>14</v>
      </c>
      <c r="C6" s="2">
        <v>45655</v>
      </c>
      <c r="D6" s="2">
        <v>45685</v>
      </c>
      <c r="E6">
        <v>23984.67</v>
      </c>
      <c r="F6">
        <v>0</v>
      </c>
      <c r="G6">
        <v>23984.67</v>
      </c>
      <c r="H6" t="s">
        <v>132</v>
      </c>
      <c r="I6">
        <v>0</v>
      </c>
      <c r="J6" t="s">
        <v>146</v>
      </c>
      <c r="K6" t="s">
        <v>144</v>
      </c>
      <c r="L6" t="s">
        <v>147</v>
      </c>
      <c r="M6" t="s">
        <v>19</v>
      </c>
    </row>
    <row r="7" spans="1:13" x14ac:dyDescent="0.35">
      <c r="A7" t="s">
        <v>148</v>
      </c>
      <c r="B7" t="s">
        <v>14</v>
      </c>
      <c r="C7" s="2">
        <v>45616</v>
      </c>
      <c r="D7" s="2">
        <v>45646</v>
      </c>
      <c r="E7">
        <v>41361</v>
      </c>
      <c r="F7">
        <v>4049.6</v>
      </c>
      <c r="G7">
        <v>37311.4</v>
      </c>
      <c r="H7" t="s">
        <v>132</v>
      </c>
      <c r="I7">
        <v>26</v>
      </c>
      <c r="J7" t="s">
        <v>133</v>
      </c>
      <c r="K7" t="s">
        <v>141</v>
      </c>
      <c r="L7" t="s">
        <v>149</v>
      </c>
      <c r="M7" t="s">
        <v>19</v>
      </c>
    </row>
    <row r="8" spans="1:13" x14ac:dyDescent="0.35">
      <c r="A8" t="s">
        <v>150</v>
      </c>
      <c r="B8" t="s">
        <v>14</v>
      </c>
      <c r="C8" s="2">
        <v>45576</v>
      </c>
      <c r="D8" s="2">
        <v>45606</v>
      </c>
      <c r="E8">
        <v>43191.31</v>
      </c>
      <c r="F8">
        <v>0</v>
      </c>
      <c r="G8">
        <v>43191.31</v>
      </c>
      <c r="H8" t="s">
        <v>137</v>
      </c>
      <c r="I8">
        <v>66</v>
      </c>
      <c r="J8" t="s">
        <v>146</v>
      </c>
      <c r="K8" t="s">
        <v>134</v>
      </c>
      <c r="L8" t="s">
        <v>151</v>
      </c>
      <c r="M8" t="s">
        <v>19</v>
      </c>
    </row>
    <row r="9" spans="1:13" x14ac:dyDescent="0.35">
      <c r="A9" t="s">
        <v>152</v>
      </c>
      <c r="B9" t="s">
        <v>14</v>
      </c>
      <c r="C9" s="2">
        <v>45621</v>
      </c>
      <c r="D9" s="2">
        <v>45651</v>
      </c>
      <c r="E9">
        <v>45609.93</v>
      </c>
      <c r="F9">
        <v>0</v>
      </c>
      <c r="G9">
        <v>45609.93</v>
      </c>
      <c r="H9" t="s">
        <v>132</v>
      </c>
      <c r="I9">
        <v>21</v>
      </c>
      <c r="J9" t="s">
        <v>146</v>
      </c>
      <c r="K9" t="s">
        <v>141</v>
      </c>
      <c r="L9" t="s">
        <v>153</v>
      </c>
      <c r="M9" t="s">
        <v>19</v>
      </c>
    </row>
    <row r="10" spans="1:13" x14ac:dyDescent="0.35">
      <c r="A10" t="s">
        <v>154</v>
      </c>
      <c r="B10" t="s">
        <v>14</v>
      </c>
      <c r="C10" s="2">
        <v>45554</v>
      </c>
      <c r="D10" s="2">
        <v>45584</v>
      </c>
      <c r="E10">
        <v>40283.18</v>
      </c>
      <c r="F10">
        <v>40283.18</v>
      </c>
      <c r="G10">
        <v>0</v>
      </c>
      <c r="H10" t="s">
        <v>137</v>
      </c>
      <c r="I10">
        <v>88</v>
      </c>
      <c r="J10" t="s">
        <v>140</v>
      </c>
      <c r="K10" t="s">
        <v>134</v>
      </c>
      <c r="M10" t="s">
        <v>19</v>
      </c>
    </row>
    <row r="11" spans="1:13" x14ac:dyDescent="0.35">
      <c r="A11" t="s">
        <v>155</v>
      </c>
      <c r="B11" t="s">
        <v>14</v>
      </c>
      <c r="C11" s="2">
        <v>45635</v>
      </c>
      <c r="D11" s="2">
        <v>45665</v>
      </c>
      <c r="E11">
        <v>14796.54</v>
      </c>
      <c r="F11">
        <v>0</v>
      </c>
      <c r="G11">
        <v>14796.54</v>
      </c>
      <c r="H11" t="s">
        <v>132</v>
      </c>
      <c r="I11">
        <v>7</v>
      </c>
      <c r="J11" t="s">
        <v>146</v>
      </c>
      <c r="K11" t="s">
        <v>141</v>
      </c>
      <c r="L11" t="s">
        <v>156</v>
      </c>
      <c r="M11" t="s">
        <v>19</v>
      </c>
    </row>
    <row r="12" spans="1:13" x14ac:dyDescent="0.35">
      <c r="A12" t="s">
        <v>157</v>
      </c>
      <c r="B12" t="s">
        <v>20</v>
      </c>
      <c r="C12" s="2">
        <v>45598</v>
      </c>
      <c r="D12" s="2">
        <v>45598</v>
      </c>
      <c r="E12">
        <v>26455.48</v>
      </c>
      <c r="F12">
        <v>14051.2</v>
      </c>
      <c r="G12">
        <v>12404.28</v>
      </c>
      <c r="H12" t="s">
        <v>137</v>
      </c>
      <c r="I12">
        <v>74</v>
      </c>
      <c r="J12" t="s">
        <v>133</v>
      </c>
      <c r="K12" t="s">
        <v>158</v>
      </c>
      <c r="L12" t="s">
        <v>159</v>
      </c>
      <c r="M12" t="s">
        <v>25</v>
      </c>
    </row>
    <row r="13" spans="1:13" x14ac:dyDescent="0.35">
      <c r="A13" t="s">
        <v>160</v>
      </c>
      <c r="B13" t="s">
        <v>20</v>
      </c>
      <c r="C13" s="2">
        <v>45596</v>
      </c>
      <c r="D13" s="2">
        <v>45596</v>
      </c>
      <c r="E13">
        <v>8058.24</v>
      </c>
      <c r="F13">
        <v>8058.24</v>
      </c>
      <c r="G13">
        <v>0</v>
      </c>
      <c r="H13" t="s">
        <v>137</v>
      </c>
      <c r="I13">
        <v>76</v>
      </c>
      <c r="J13" t="s">
        <v>140</v>
      </c>
      <c r="K13" t="s">
        <v>144</v>
      </c>
      <c r="L13" t="s">
        <v>161</v>
      </c>
      <c r="M13" t="s">
        <v>25</v>
      </c>
    </row>
    <row r="14" spans="1:13" x14ac:dyDescent="0.35">
      <c r="A14" t="s">
        <v>162</v>
      </c>
      <c r="B14" t="s">
        <v>20</v>
      </c>
      <c r="C14" s="2">
        <v>45593</v>
      </c>
      <c r="D14" s="2">
        <v>45593</v>
      </c>
      <c r="E14">
        <v>8689.25</v>
      </c>
      <c r="F14">
        <v>4911.3999999999996</v>
      </c>
      <c r="G14">
        <v>3777.85</v>
      </c>
      <c r="H14" t="s">
        <v>137</v>
      </c>
      <c r="I14">
        <v>79</v>
      </c>
      <c r="J14" t="s">
        <v>133</v>
      </c>
      <c r="K14" t="s">
        <v>163</v>
      </c>
      <c r="L14" t="s">
        <v>164</v>
      </c>
      <c r="M14" t="s">
        <v>25</v>
      </c>
    </row>
    <row r="15" spans="1:13" x14ac:dyDescent="0.35">
      <c r="A15" t="s">
        <v>165</v>
      </c>
      <c r="B15" t="s">
        <v>26</v>
      </c>
      <c r="C15" s="2">
        <v>45642</v>
      </c>
      <c r="D15" s="2">
        <v>45687</v>
      </c>
      <c r="E15">
        <v>16952.650000000001</v>
      </c>
      <c r="F15">
        <v>0</v>
      </c>
      <c r="G15">
        <v>16952.650000000001</v>
      </c>
      <c r="H15" t="s">
        <v>132</v>
      </c>
      <c r="I15">
        <v>0</v>
      </c>
      <c r="J15" t="s">
        <v>146</v>
      </c>
      <c r="K15" t="s">
        <v>163</v>
      </c>
      <c r="L15" t="s">
        <v>166</v>
      </c>
      <c r="M15" t="s">
        <v>31</v>
      </c>
    </row>
    <row r="16" spans="1:13" x14ac:dyDescent="0.35">
      <c r="A16" t="s">
        <v>167</v>
      </c>
      <c r="B16" t="s">
        <v>26</v>
      </c>
      <c r="C16" s="2">
        <v>45576</v>
      </c>
      <c r="D16" s="2">
        <v>45621</v>
      </c>
      <c r="E16">
        <v>47108.04</v>
      </c>
      <c r="F16">
        <v>0</v>
      </c>
      <c r="G16">
        <v>47108.04</v>
      </c>
      <c r="H16" t="s">
        <v>168</v>
      </c>
      <c r="I16">
        <v>51</v>
      </c>
      <c r="J16" t="s">
        <v>146</v>
      </c>
      <c r="K16" t="s">
        <v>158</v>
      </c>
      <c r="M16" t="s">
        <v>31</v>
      </c>
    </row>
    <row r="17" spans="1:13" x14ac:dyDescent="0.35">
      <c r="A17" t="s">
        <v>169</v>
      </c>
      <c r="B17" t="s">
        <v>26</v>
      </c>
      <c r="C17" s="2">
        <v>45645</v>
      </c>
      <c r="D17" s="2">
        <v>45690</v>
      </c>
      <c r="E17">
        <v>27764.81</v>
      </c>
      <c r="F17">
        <v>0</v>
      </c>
      <c r="G17">
        <v>27764.81</v>
      </c>
      <c r="H17" t="s">
        <v>132</v>
      </c>
      <c r="I17">
        <v>0</v>
      </c>
      <c r="J17" t="s">
        <v>146</v>
      </c>
      <c r="K17" t="s">
        <v>170</v>
      </c>
      <c r="L17" t="s">
        <v>171</v>
      </c>
      <c r="M17" t="s">
        <v>31</v>
      </c>
    </row>
    <row r="18" spans="1:13" x14ac:dyDescent="0.35">
      <c r="A18" t="s">
        <v>172</v>
      </c>
      <c r="B18" t="s">
        <v>26</v>
      </c>
      <c r="C18" s="2">
        <v>45641</v>
      </c>
      <c r="D18" s="2">
        <v>45686</v>
      </c>
      <c r="E18">
        <v>21628.720000000001</v>
      </c>
      <c r="F18">
        <v>0</v>
      </c>
      <c r="G18">
        <v>21628.720000000001</v>
      </c>
      <c r="H18" t="s">
        <v>132</v>
      </c>
      <c r="I18">
        <v>0</v>
      </c>
      <c r="J18" t="s">
        <v>146</v>
      </c>
      <c r="K18" t="s">
        <v>163</v>
      </c>
      <c r="L18" t="s">
        <v>173</v>
      </c>
      <c r="M18" t="s">
        <v>31</v>
      </c>
    </row>
    <row r="19" spans="1:13" x14ac:dyDescent="0.35">
      <c r="A19" t="s">
        <v>174</v>
      </c>
      <c r="B19" t="s">
        <v>26</v>
      </c>
      <c r="C19" s="2">
        <v>45589</v>
      </c>
      <c r="D19" s="2">
        <v>45634</v>
      </c>
      <c r="E19">
        <v>28802.33</v>
      </c>
      <c r="F19">
        <v>28802.33</v>
      </c>
      <c r="G19">
        <v>0</v>
      </c>
      <c r="H19" t="s">
        <v>168</v>
      </c>
      <c r="I19">
        <v>38</v>
      </c>
      <c r="J19" t="s">
        <v>140</v>
      </c>
      <c r="K19" t="s">
        <v>158</v>
      </c>
      <c r="L19" t="s">
        <v>175</v>
      </c>
      <c r="M19" t="s">
        <v>31</v>
      </c>
    </row>
    <row r="20" spans="1:13" x14ac:dyDescent="0.35">
      <c r="A20" t="s">
        <v>176</v>
      </c>
      <c r="B20" t="s">
        <v>32</v>
      </c>
      <c r="C20" s="2">
        <v>45658</v>
      </c>
      <c r="D20" s="2">
        <v>45688</v>
      </c>
      <c r="E20">
        <v>45037.07</v>
      </c>
      <c r="F20">
        <v>7000.92</v>
      </c>
      <c r="G20">
        <v>38036.15</v>
      </c>
      <c r="H20" t="s">
        <v>132</v>
      </c>
      <c r="I20">
        <v>0</v>
      </c>
      <c r="J20" t="s">
        <v>133</v>
      </c>
      <c r="K20" t="s">
        <v>144</v>
      </c>
      <c r="L20" t="s">
        <v>177</v>
      </c>
      <c r="M20" t="s">
        <v>19</v>
      </c>
    </row>
    <row r="21" spans="1:13" x14ac:dyDescent="0.35">
      <c r="A21" t="s">
        <v>178</v>
      </c>
      <c r="B21" t="s">
        <v>32</v>
      </c>
      <c r="C21" s="2">
        <v>45585</v>
      </c>
      <c r="D21" s="2">
        <v>45615</v>
      </c>
      <c r="E21">
        <v>33540.71</v>
      </c>
      <c r="F21">
        <v>0</v>
      </c>
      <c r="G21">
        <v>33540.71</v>
      </c>
      <c r="H21" t="s">
        <v>168</v>
      </c>
      <c r="I21">
        <v>57</v>
      </c>
      <c r="J21" t="s">
        <v>146</v>
      </c>
      <c r="K21" t="s">
        <v>134</v>
      </c>
      <c r="L21" t="s">
        <v>179</v>
      </c>
      <c r="M21" t="s">
        <v>19</v>
      </c>
    </row>
    <row r="22" spans="1:13" x14ac:dyDescent="0.35">
      <c r="A22" t="s">
        <v>180</v>
      </c>
      <c r="B22" t="s">
        <v>32</v>
      </c>
      <c r="C22" s="2">
        <v>45564</v>
      </c>
      <c r="D22" s="2">
        <v>45594</v>
      </c>
      <c r="E22">
        <v>7285.95</v>
      </c>
      <c r="F22">
        <v>6042.59</v>
      </c>
      <c r="G22">
        <v>1243.3599999999999</v>
      </c>
      <c r="H22" t="s">
        <v>137</v>
      </c>
      <c r="I22">
        <v>78</v>
      </c>
      <c r="J22" t="s">
        <v>133</v>
      </c>
      <c r="K22" t="s">
        <v>170</v>
      </c>
      <c r="L22" t="s">
        <v>181</v>
      </c>
      <c r="M22" t="s">
        <v>19</v>
      </c>
    </row>
    <row r="23" spans="1:13" x14ac:dyDescent="0.35">
      <c r="A23" t="s">
        <v>182</v>
      </c>
      <c r="B23" t="s">
        <v>32</v>
      </c>
      <c r="C23" s="2">
        <v>45639</v>
      </c>
      <c r="D23" s="2">
        <v>45669</v>
      </c>
      <c r="E23">
        <v>12271.19</v>
      </c>
      <c r="F23">
        <v>8659.3799999999992</v>
      </c>
      <c r="G23">
        <v>3611.8100000000009</v>
      </c>
      <c r="H23" t="s">
        <v>132</v>
      </c>
      <c r="I23">
        <v>3</v>
      </c>
      <c r="J23" t="s">
        <v>133</v>
      </c>
      <c r="K23" t="s">
        <v>158</v>
      </c>
      <c r="M23" t="s">
        <v>19</v>
      </c>
    </row>
    <row r="24" spans="1:13" x14ac:dyDescent="0.35">
      <c r="A24" t="s">
        <v>183</v>
      </c>
      <c r="B24" t="s">
        <v>32</v>
      </c>
      <c r="C24" s="2">
        <v>45559</v>
      </c>
      <c r="D24" s="2">
        <v>45589</v>
      </c>
      <c r="E24">
        <v>36095.879999999997</v>
      </c>
      <c r="F24">
        <v>0</v>
      </c>
      <c r="G24">
        <v>36095.879999999997</v>
      </c>
      <c r="H24" t="s">
        <v>137</v>
      </c>
      <c r="I24">
        <v>83</v>
      </c>
      <c r="J24" t="s">
        <v>146</v>
      </c>
      <c r="K24" t="s">
        <v>141</v>
      </c>
      <c r="L24" t="s">
        <v>184</v>
      </c>
      <c r="M24" t="s">
        <v>19</v>
      </c>
    </row>
    <row r="25" spans="1:13" x14ac:dyDescent="0.35">
      <c r="A25" t="s">
        <v>185</v>
      </c>
      <c r="B25" t="s">
        <v>37</v>
      </c>
      <c r="C25" s="2">
        <v>45654</v>
      </c>
      <c r="D25" s="2">
        <v>45684</v>
      </c>
      <c r="E25">
        <v>24340.400000000001</v>
      </c>
      <c r="F25">
        <v>0</v>
      </c>
      <c r="G25">
        <v>24340.400000000001</v>
      </c>
      <c r="H25" t="s">
        <v>132</v>
      </c>
      <c r="I25">
        <v>0</v>
      </c>
      <c r="J25" t="s">
        <v>146</v>
      </c>
      <c r="K25" t="s">
        <v>170</v>
      </c>
      <c r="L25" t="s">
        <v>186</v>
      </c>
      <c r="M25" t="s">
        <v>19</v>
      </c>
    </row>
    <row r="26" spans="1:13" x14ac:dyDescent="0.35">
      <c r="A26" t="s">
        <v>187</v>
      </c>
      <c r="B26" t="s">
        <v>37</v>
      </c>
      <c r="C26" s="2">
        <v>45562</v>
      </c>
      <c r="D26" s="2">
        <v>45592</v>
      </c>
      <c r="E26">
        <v>6795.27</v>
      </c>
      <c r="F26">
        <v>4634.83</v>
      </c>
      <c r="G26">
        <v>2160.440000000001</v>
      </c>
      <c r="H26" t="s">
        <v>137</v>
      </c>
      <c r="I26">
        <v>80</v>
      </c>
      <c r="J26" t="s">
        <v>133</v>
      </c>
      <c r="K26" t="s">
        <v>170</v>
      </c>
      <c r="L26" t="s">
        <v>188</v>
      </c>
      <c r="M26" t="s">
        <v>19</v>
      </c>
    </row>
    <row r="27" spans="1:13" x14ac:dyDescent="0.35">
      <c r="A27" t="s">
        <v>189</v>
      </c>
      <c r="B27" t="s">
        <v>37</v>
      </c>
      <c r="C27" s="2">
        <v>45561</v>
      </c>
      <c r="D27" s="2">
        <v>45591</v>
      </c>
      <c r="E27">
        <v>23286.98</v>
      </c>
      <c r="F27">
        <v>23286.98</v>
      </c>
      <c r="G27">
        <v>0</v>
      </c>
      <c r="H27" t="s">
        <v>137</v>
      </c>
      <c r="I27">
        <v>81</v>
      </c>
      <c r="J27" t="s">
        <v>140</v>
      </c>
      <c r="K27" t="s">
        <v>190</v>
      </c>
      <c r="L27" t="s">
        <v>191</v>
      </c>
      <c r="M27" t="s">
        <v>19</v>
      </c>
    </row>
    <row r="28" spans="1:13" x14ac:dyDescent="0.35">
      <c r="A28" t="s">
        <v>192</v>
      </c>
      <c r="B28" t="s">
        <v>37</v>
      </c>
      <c r="C28" s="2">
        <v>45650</v>
      </c>
      <c r="D28" s="2">
        <v>45680</v>
      </c>
      <c r="E28">
        <v>44663.73</v>
      </c>
      <c r="F28">
        <v>0</v>
      </c>
      <c r="G28">
        <v>44663.73</v>
      </c>
      <c r="H28" t="s">
        <v>132</v>
      </c>
      <c r="I28">
        <v>0</v>
      </c>
      <c r="J28" t="s">
        <v>146</v>
      </c>
      <c r="K28" t="s">
        <v>170</v>
      </c>
      <c r="L28" t="s">
        <v>193</v>
      </c>
      <c r="M28" t="s">
        <v>19</v>
      </c>
    </row>
    <row r="29" spans="1:13" x14ac:dyDescent="0.35">
      <c r="A29" t="s">
        <v>194</v>
      </c>
      <c r="B29" t="s">
        <v>37</v>
      </c>
      <c r="C29" s="2">
        <v>45570</v>
      </c>
      <c r="D29" s="2">
        <v>45600</v>
      </c>
      <c r="E29">
        <v>35145.82</v>
      </c>
      <c r="F29">
        <v>8722.0400000000009</v>
      </c>
      <c r="G29">
        <v>26423.78</v>
      </c>
      <c r="H29" t="s">
        <v>137</v>
      </c>
      <c r="I29">
        <v>72</v>
      </c>
      <c r="J29" t="s">
        <v>133</v>
      </c>
      <c r="K29" t="s">
        <v>158</v>
      </c>
      <c r="L29" t="s">
        <v>195</v>
      </c>
      <c r="M29" t="s">
        <v>19</v>
      </c>
    </row>
    <row r="30" spans="1:13" x14ac:dyDescent="0.35">
      <c r="A30" t="s">
        <v>196</v>
      </c>
      <c r="B30" t="s">
        <v>37</v>
      </c>
      <c r="C30" s="2">
        <v>45563</v>
      </c>
      <c r="D30" s="2">
        <v>45593</v>
      </c>
      <c r="E30">
        <v>26181.05</v>
      </c>
      <c r="F30">
        <v>0</v>
      </c>
      <c r="G30">
        <v>26181.05</v>
      </c>
      <c r="H30" t="s">
        <v>137</v>
      </c>
      <c r="I30">
        <v>79</v>
      </c>
      <c r="J30" t="s">
        <v>146</v>
      </c>
      <c r="K30" t="s">
        <v>134</v>
      </c>
      <c r="L30" t="s">
        <v>197</v>
      </c>
      <c r="M30" t="s">
        <v>19</v>
      </c>
    </row>
    <row r="31" spans="1:13" x14ac:dyDescent="0.35">
      <c r="A31" t="s">
        <v>198</v>
      </c>
      <c r="B31" t="s">
        <v>37</v>
      </c>
      <c r="C31" s="2">
        <v>45571</v>
      </c>
      <c r="D31" s="2">
        <v>45601</v>
      </c>
      <c r="E31">
        <v>44209.54</v>
      </c>
      <c r="F31">
        <v>0</v>
      </c>
      <c r="G31">
        <v>44209.54</v>
      </c>
      <c r="H31" t="s">
        <v>137</v>
      </c>
      <c r="I31">
        <v>71</v>
      </c>
      <c r="J31" t="s">
        <v>146</v>
      </c>
      <c r="K31" t="s">
        <v>144</v>
      </c>
      <c r="L31" t="s">
        <v>199</v>
      </c>
      <c r="M31" t="s">
        <v>19</v>
      </c>
    </row>
    <row r="32" spans="1:13" x14ac:dyDescent="0.35">
      <c r="A32" t="s">
        <v>200</v>
      </c>
      <c r="B32" t="s">
        <v>42</v>
      </c>
      <c r="C32" s="2">
        <v>45574</v>
      </c>
      <c r="D32" s="2">
        <v>45604</v>
      </c>
      <c r="E32">
        <v>17560.62</v>
      </c>
      <c r="F32">
        <v>17560.62</v>
      </c>
      <c r="G32">
        <v>0</v>
      </c>
      <c r="H32" t="s">
        <v>137</v>
      </c>
      <c r="I32">
        <v>68</v>
      </c>
      <c r="J32" t="s">
        <v>140</v>
      </c>
      <c r="K32" t="s">
        <v>170</v>
      </c>
      <c r="L32" t="s">
        <v>201</v>
      </c>
      <c r="M32" t="s">
        <v>19</v>
      </c>
    </row>
    <row r="33" spans="1:13" x14ac:dyDescent="0.35">
      <c r="A33" t="s">
        <v>202</v>
      </c>
      <c r="B33" t="s">
        <v>42</v>
      </c>
      <c r="C33" s="2">
        <v>45560</v>
      </c>
      <c r="D33" s="2">
        <v>45590</v>
      </c>
      <c r="E33">
        <v>48668.03</v>
      </c>
      <c r="F33">
        <v>0</v>
      </c>
      <c r="G33">
        <v>48668.03</v>
      </c>
      <c r="H33" t="s">
        <v>137</v>
      </c>
      <c r="I33">
        <v>82</v>
      </c>
      <c r="J33" t="s">
        <v>146</v>
      </c>
      <c r="K33" t="s">
        <v>163</v>
      </c>
      <c r="M33" t="s">
        <v>19</v>
      </c>
    </row>
    <row r="34" spans="1:13" x14ac:dyDescent="0.35">
      <c r="A34" t="s">
        <v>203</v>
      </c>
      <c r="B34" t="s">
        <v>42</v>
      </c>
      <c r="C34" s="2">
        <v>45596</v>
      </c>
      <c r="D34" s="2">
        <v>45626</v>
      </c>
      <c r="E34">
        <v>24555.37</v>
      </c>
      <c r="F34">
        <v>7702.46</v>
      </c>
      <c r="G34">
        <v>16852.91</v>
      </c>
      <c r="H34" t="s">
        <v>168</v>
      </c>
      <c r="I34">
        <v>46</v>
      </c>
      <c r="J34" t="s">
        <v>133</v>
      </c>
      <c r="K34" t="s">
        <v>158</v>
      </c>
      <c r="L34" t="s">
        <v>204</v>
      </c>
      <c r="M34" t="s">
        <v>19</v>
      </c>
    </row>
    <row r="35" spans="1:13" x14ac:dyDescent="0.35">
      <c r="A35" t="s">
        <v>205</v>
      </c>
      <c r="B35" t="s">
        <v>47</v>
      </c>
      <c r="C35" s="2">
        <v>45640</v>
      </c>
      <c r="D35" s="2">
        <v>45685</v>
      </c>
      <c r="E35">
        <v>6997.39</v>
      </c>
      <c r="F35">
        <v>6997.39</v>
      </c>
      <c r="G35">
        <v>0</v>
      </c>
      <c r="H35" t="s">
        <v>132</v>
      </c>
      <c r="I35">
        <v>0</v>
      </c>
      <c r="J35" t="s">
        <v>140</v>
      </c>
      <c r="K35" t="s">
        <v>144</v>
      </c>
      <c r="L35" t="s">
        <v>206</v>
      </c>
      <c r="M35" t="s">
        <v>31</v>
      </c>
    </row>
    <row r="36" spans="1:13" x14ac:dyDescent="0.35">
      <c r="A36" t="s">
        <v>207</v>
      </c>
      <c r="B36" t="s">
        <v>47</v>
      </c>
      <c r="C36" s="2">
        <v>45587</v>
      </c>
      <c r="D36" s="2">
        <v>45632</v>
      </c>
      <c r="E36">
        <v>46434.69</v>
      </c>
      <c r="F36">
        <v>30804.19</v>
      </c>
      <c r="G36">
        <v>15630.5</v>
      </c>
      <c r="H36" t="s">
        <v>168</v>
      </c>
      <c r="I36">
        <v>40</v>
      </c>
      <c r="J36" t="s">
        <v>133</v>
      </c>
      <c r="K36" t="s">
        <v>163</v>
      </c>
      <c r="L36" t="s">
        <v>208</v>
      </c>
      <c r="M36" t="s">
        <v>31</v>
      </c>
    </row>
    <row r="37" spans="1:13" x14ac:dyDescent="0.35">
      <c r="A37" t="s">
        <v>209</v>
      </c>
      <c r="B37" t="s">
        <v>47</v>
      </c>
      <c r="C37" s="2">
        <v>45620</v>
      </c>
      <c r="D37" s="2">
        <v>45665</v>
      </c>
      <c r="E37">
        <v>19678.23</v>
      </c>
      <c r="F37">
        <v>10909.86</v>
      </c>
      <c r="G37">
        <v>8768.369999999999</v>
      </c>
      <c r="H37" t="s">
        <v>132</v>
      </c>
      <c r="I37">
        <v>7</v>
      </c>
      <c r="J37" t="s">
        <v>133</v>
      </c>
      <c r="K37" t="s">
        <v>138</v>
      </c>
      <c r="L37" t="s">
        <v>210</v>
      </c>
      <c r="M37" t="s">
        <v>31</v>
      </c>
    </row>
    <row r="38" spans="1:13" x14ac:dyDescent="0.35">
      <c r="A38" t="s">
        <v>211</v>
      </c>
      <c r="B38" t="s">
        <v>47</v>
      </c>
      <c r="C38" s="2">
        <v>45650</v>
      </c>
      <c r="D38" s="2">
        <v>45695</v>
      </c>
      <c r="E38">
        <v>32698.17</v>
      </c>
      <c r="F38">
        <v>17916.54</v>
      </c>
      <c r="G38">
        <v>14781.63</v>
      </c>
      <c r="H38" t="s">
        <v>132</v>
      </c>
      <c r="I38">
        <v>0</v>
      </c>
      <c r="J38" t="s">
        <v>133</v>
      </c>
      <c r="K38" t="s">
        <v>163</v>
      </c>
      <c r="L38" t="s">
        <v>212</v>
      </c>
      <c r="M38" t="s">
        <v>31</v>
      </c>
    </row>
    <row r="39" spans="1:13" x14ac:dyDescent="0.35">
      <c r="A39" t="s">
        <v>213</v>
      </c>
      <c r="B39" t="s">
        <v>52</v>
      </c>
      <c r="C39" s="2">
        <v>45595</v>
      </c>
      <c r="D39" s="2">
        <v>45625</v>
      </c>
      <c r="E39">
        <v>34461.75</v>
      </c>
      <c r="F39">
        <v>15237.6</v>
      </c>
      <c r="G39">
        <v>19224.150000000001</v>
      </c>
      <c r="H39" t="s">
        <v>168</v>
      </c>
      <c r="I39">
        <v>47</v>
      </c>
      <c r="J39" t="s">
        <v>133</v>
      </c>
      <c r="K39" t="s">
        <v>134</v>
      </c>
      <c r="L39" t="s">
        <v>214</v>
      </c>
      <c r="M39" t="s">
        <v>19</v>
      </c>
    </row>
    <row r="40" spans="1:13" x14ac:dyDescent="0.35">
      <c r="A40" t="s">
        <v>215</v>
      </c>
      <c r="B40" t="s">
        <v>52</v>
      </c>
      <c r="C40" s="2">
        <v>45571</v>
      </c>
      <c r="D40" s="2">
        <v>45601</v>
      </c>
      <c r="E40">
        <v>38118.269999999997</v>
      </c>
      <c r="F40">
        <v>10817.45</v>
      </c>
      <c r="G40">
        <v>27300.82</v>
      </c>
      <c r="H40" t="s">
        <v>137</v>
      </c>
      <c r="I40">
        <v>71</v>
      </c>
      <c r="J40" t="s">
        <v>133</v>
      </c>
      <c r="K40" t="s">
        <v>170</v>
      </c>
      <c r="M40" t="s">
        <v>19</v>
      </c>
    </row>
    <row r="41" spans="1:13" x14ac:dyDescent="0.35">
      <c r="A41" t="s">
        <v>216</v>
      </c>
      <c r="B41" t="s">
        <v>52</v>
      </c>
      <c r="C41" s="2">
        <v>45576</v>
      </c>
      <c r="D41" s="2">
        <v>45606</v>
      </c>
      <c r="E41">
        <v>15569.09</v>
      </c>
      <c r="F41">
        <v>12557.45</v>
      </c>
      <c r="G41">
        <v>3011.639999999999</v>
      </c>
      <c r="H41" t="s">
        <v>137</v>
      </c>
      <c r="I41">
        <v>66</v>
      </c>
      <c r="J41" t="s">
        <v>133</v>
      </c>
      <c r="K41" t="s">
        <v>141</v>
      </c>
      <c r="L41" t="s">
        <v>217</v>
      </c>
      <c r="M41" t="s">
        <v>19</v>
      </c>
    </row>
    <row r="42" spans="1:13" x14ac:dyDescent="0.35">
      <c r="A42" t="s">
        <v>218</v>
      </c>
      <c r="B42" t="s">
        <v>52</v>
      </c>
      <c r="C42" s="2">
        <v>45594</v>
      </c>
      <c r="D42" s="2">
        <v>45624</v>
      </c>
      <c r="E42">
        <v>43238.2</v>
      </c>
      <c r="F42">
        <v>0</v>
      </c>
      <c r="G42">
        <v>43238.2</v>
      </c>
      <c r="H42" t="s">
        <v>168</v>
      </c>
      <c r="I42">
        <v>48</v>
      </c>
      <c r="J42" t="s">
        <v>146</v>
      </c>
      <c r="K42" t="s">
        <v>138</v>
      </c>
      <c r="L42" t="s">
        <v>219</v>
      </c>
      <c r="M42" t="s">
        <v>19</v>
      </c>
    </row>
    <row r="43" spans="1:13" x14ac:dyDescent="0.35">
      <c r="A43" t="s">
        <v>220</v>
      </c>
      <c r="B43" t="s">
        <v>52</v>
      </c>
      <c r="C43" s="2">
        <v>45648</v>
      </c>
      <c r="D43" s="2">
        <v>45678</v>
      </c>
      <c r="E43">
        <v>37325.57</v>
      </c>
      <c r="F43">
        <v>14917.27</v>
      </c>
      <c r="G43">
        <v>22408.3</v>
      </c>
      <c r="H43" t="s">
        <v>132</v>
      </c>
      <c r="I43">
        <v>0</v>
      </c>
      <c r="J43" t="s">
        <v>133</v>
      </c>
      <c r="K43" t="s">
        <v>141</v>
      </c>
      <c r="L43" t="s">
        <v>221</v>
      </c>
      <c r="M43" t="s">
        <v>19</v>
      </c>
    </row>
    <row r="44" spans="1:13" x14ac:dyDescent="0.35">
      <c r="A44" t="s">
        <v>222</v>
      </c>
      <c r="B44" t="s">
        <v>52</v>
      </c>
      <c r="C44" s="2">
        <v>45574</v>
      </c>
      <c r="D44" s="2">
        <v>45604</v>
      </c>
      <c r="E44">
        <v>44845.93</v>
      </c>
      <c r="F44">
        <v>44845.93</v>
      </c>
      <c r="G44">
        <v>0</v>
      </c>
      <c r="H44" t="s">
        <v>137</v>
      </c>
      <c r="I44">
        <v>68</v>
      </c>
      <c r="J44" t="s">
        <v>140</v>
      </c>
      <c r="K44" t="s">
        <v>134</v>
      </c>
      <c r="M44" t="s">
        <v>19</v>
      </c>
    </row>
    <row r="45" spans="1:13" x14ac:dyDescent="0.35">
      <c r="A45" t="s">
        <v>223</v>
      </c>
      <c r="B45" t="s">
        <v>52</v>
      </c>
      <c r="C45" s="2">
        <v>45641</v>
      </c>
      <c r="D45" s="2">
        <v>45671</v>
      </c>
      <c r="E45">
        <v>46286.15</v>
      </c>
      <c r="F45">
        <v>0</v>
      </c>
      <c r="G45">
        <v>46286.15</v>
      </c>
      <c r="H45" t="s">
        <v>132</v>
      </c>
      <c r="I45">
        <v>1</v>
      </c>
      <c r="J45" t="s">
        <v>146</v>
      </c>
      <c r="K45" t="s">
        <v>190</v>
      </c>
      <c r="L45" t="s">
        <v>224</v>
      </c>
      <c r="M45" t="s">
        <v>19</v>
      </c>
    </row>
    <row r="46" spans="1:13" x14ac:dyDescent="0.35">
      <c r="A46" t="s">
        <v>225</v>
      </c>
      <c r="B46" t="s">
        <v>57</v>
      </c>
      <c r="C46" s="2">
        <v>45601</v>
      </c>
      <c r="D46" s="2">
        <v>45601</v>
      </c>
      <c r="E46">
        <v>31795.35</v>
      </c>
      <c r="F46">
        <v>28343.200000000001</v>
      </c>
      <c r="G46">
        <v>3452.1499999999978</v>
      </c>
      <c r="H46" t="s">
        <v>137</v>
      </c>
      <c r="I46">
        <v>71</v>
      </c>
      <c r="J46" t="s">
        <v>133</v>
      </c>
      <c r="K46" t="s">
        <v>138</v>
      </c>
      <c r="L46" t="s">
        <v>226</v>
      </c>
      <c r="M46" t="s">
        <v>25</v>
      </c>
    </row>
    <row r="47" spans="1:13" x14ac:dyDescent="0.35">
      <c r="A47" t="s">
        <v>227</v>
      </c>
      <c r="B47" t="s">
        <v>57</v>
      </c>
      <c r="C47" s="2">
        <v>45615</v>
      </c>
      <c r="D47" s="2">
        <v>45615</v>
      </c>
      <c r="E47">
        <v>45374.36</v>
      </c>
      <c r="F47">
        <v>21538.05</v>
      </c>
      <c r="G47">
        <v>23836.31</v>
      </c>
      <c r="H47" t="s">
        <v>168</v>
      </c>
      <c r="I47">
        <v>57</v>
      </c>
      <c r="J47" t="s">
        <v>133</v>
      </c>
      <c r="K47" t="s">
        <v>144</v>
      </c>
      <c r="L47" t="s">
        <v>228</v>
      </c>
      <c r="M47" t="s">
        <v>25</v>
      </c>
    </row>
    <row r="48" spans="1:13" x14ac:dyDescent="0.35">
      <c r="A48" t="s">
        <v>229</v>
      </c>
      <c r="B48" t="s">
        <v>57</v>
      </c>
      <c r="C48" s="2">
        <v>45574</v>
      </c>
      <c r="D48" s="2">
        <v>45574</v>
      </c>
      <c r="E48">
        <v>39995.370000000003</v>
      </c>
      <c r="F48">
        <v>9568.73</v>
      </c>
      <c r="G48">
        <v>30426.639999999999</v>
      </c>
      <c r="H48" t="s">
        <v>230</v>
      </c>
      <c r="I48">
        <v>98</v>
      </c>
      <c r="J48" t="s">
        <v>133</v>
      </c>
      <c r="K48" t="s">
        <v>163</v>
      </c>
      <c r="L48" t="s">
        <v>231</v>
      </c>
      <c r="M48" t="s">
        <v>25</v>
      </c>
    </row>
    <row r="49" spans="1:13" x14ac:dyDescent="0.35">
      <c r="A49" t="s">
        <v>232</v>
      </c>
      <c r="B49" t="s">
        <v>57</v>
      </c>
      <c r="C49" s="2">
        <v>45632</v>
      </c>
      <c r="D49" s="2">
        <v>45632</v>
      </c>
      <c r="E49">
        <v>45186.21</v>
      </c>
      <c r="F49">
        <v>0</v>
      </c>
      <c r="G49">
        <v>45186.21</v>
      </c>
      <c r="H49" t="s">
        <v>168</v>
      </c>
      <c r="I49">
        <v>40</v>
      </c>
      <c r="J49" t="s">
        <v>146</v>
      </c>
      <c r="K49" t="s">
        <v>190</v>
      </c>
      <c r="L49" t="s">
        <v>233</v>
      </c>
      <c r="M49" t="s">
        <v>25</v>
      </c>
    </row>
    <row r="50" spans="1:13" x14ac:dyDescent="0.35">
      <c r="A50" t="s">
        <v>234</v>
      </c>
      <c r="B50" t="s">
        <v>57</v>
      </c>
      <c r="C50" s="2">
        <v>45653</v>
      </c>
      <c r="D50" s="2">
        <v>45653</v>
      </c>
      <c r="E50">
        <v>36788.86</v>
      </c>
      <c r="F50">
        <v>0</v>
      </c>
      <c r="G50">
        <v>36788.86</v>
      </c>
      <c r="H50" t="s">
        <v>132</v>
      </c>
      <c r="I50">
        <v>19</v>
      </c>
      <c r="J50" t="s">
        <v>146</v>
      </c>
      <c r="K50" t="s">
        <v>138</v>
      </c>
      <c r="L50" t="s">
        <v>235</v>
      </c>
      <c r="M50" t="s">
        <v>25</v>
      </c>
    </row>
    <row r="51" spans="1:13" x14ac:dyDescent="0.35">
      <c r="A51" t="s">
        <v>236</v>
      </c>
      <c r="B51" t="s">
        <v>57</v>
      </c>
      <c r="C51" s="2">
        <v>45619</v>
      </c>
      <c r="D51" s="2">
        <v>45619</v>
      </c>
      <c r="E51">
        <v>7801.96</v>
      </c>
      <c r="F51">
        <v>3038.68</v>
      </c>
      <c r="G51">
        <v>4763.2800000000007</v>
      </c>
      <c r="H51" t="s">
        <v>168</v>
      </c>
      <c r="I51">
        <v>53</v>
      </c>
      <c r="J51" t="s">
        <v>133</v>
      </c>
      <c r="K51" t="s">
        <v>141</v>
      </c>
      <c r="L51" t="s">
        <v>237</v>
      </c>
      <c r="M51" t="s">
        <v>25</v>
      </c>
    </row>
    <row r="52" spans="1:13" x14ac:dyDescent="0.35">
      <c r="A52" t="s">
        <v>238</v>
      </c>
      <c r="B52" t="s">
        <v>57</v>
      </c>
      <c r="C52" s="2">
        <v>45599</v>
      </c>
      <c r="D52" s="2">
        <v>45599</v>
      </c>
      <c r="E52">
        <v>22117.15</v>
      </c>
      <c r="F52">
        <v>0</v>
      </c>
      <c r="G52">
        <v>22117.15</v>
      </c>
      <c r="H52" t="s">
        <v>137</v>
      </c>
      <c r="I52">
        <v>73</v>
      </c>
      <c r="J52" t="s">
        <v>146</v>
      </c>
      <c r="K52" t="s">
        <v>170</v>
      </c>
      <c r="L52" t="s">
        <v>239</v>
      </c>
      <c r="M52" t="s">
        <v>25</v>
      </c>
    </row>
    <row r="53" spans="1:13" x14ac:dyDescent="0.35">
      <c r="A53" t="s">
        <v>240</v>
      </c>
      <c r="B53" t="s">
        <v>62</v>
      </c>
      <c r="C53" s="2">
        <v>45604</v>
      </c>
      <c r="D53" s="2">
        <v>45634</v>
      </c>
      <c r="E53">
        <v>38638.21</v>
      </c>
      <c r="F53">
        <v>23308.6</v>
      </c>
      <c r="G53">
        <v>15329.61</v>
      </c>
      <c r="H53" t="s">
        <v>168</v>
      </c>
      <c r="I53">
        <v>38</v>
      </c>
      <c r="J53" t="s">
        <v>133</v>
      </c>
      <c r="K53" t="s">
        <v>144</v>
      </c>
      <c r="L53" t="s">
        <v>241</v>
      </c>
      <c r="M53" t="s">
        <v>19</v>
      </c>
    </row>
    <row r="54" spans="1:13" x14ac:dyDescent="0.35">
      <c r="A54" t="s">
        <v>242</v>
      </c>
      <c r="B54" t="s">
        <v>62</v>
      </c>
      <c r="C54" s="2">
        <v>45669</v>
      </c>
      <c r="D54" s="2">
        <v>45699</v>
      </c>
      <c r="E54">
        <v>22498.57</v>
      </c>
      <c r="F54">
        <v>17957.060000000001</v>
      </c>
      <c r="G54">
        <v>4541.5099999999984</v>
      </c>
      <c r="H54" t="s">
        <v>132</v>
      </c>
      <c r="I54">
        <v>0</v>
      </c>
      <c r="J54" t="s">
        <v>133</v>
      </c>
      <c r="K54" t="s">
        <v>134</v>
      </c>
      <c r="L54" t="s">
        <v>243</v>
      </c>
      <c r="M54" t="s">
        <v>19</v>
      </c>
    </row>
    <row r="55" spans="1:13" x14ac:dyDescent="0.35">
      <c r="A55" t="s">
        <v>244</v>
      </c>
      <c r="B55" t="s">
        <v>62</v>
      </c>
      <c r="C55" s="2">
        <v>45604</v>
      </c>
      <c r="D55" s="2">
        <v>45634</v>
      </c>
      <c r="E55">
        <v>6213.49</v>
      </c>
      <c r="F55">
        <v>3506.84</v>
      </c>
      <c r="G55">
        <v>2706.65</v>
      </c>
      <c r="H55" t="s">
        <v>168</v>
      </c>
      <c r="I55">
        <v>38</v>
      </c>
      <c r="J55" t="s">
        <v>133</v>
      </c>
      <c r="K55" t="s">
        <v>138</v>
      </c>
      <c r="M55" t="s">
        <v>19</v>
      </c>
    </row>
    <row r="56" spans="1:13" x14ac:dyDescent="0.35">
      <c r="A56" t="s">
        <v>245</v>
      </c>
      <c r="B56" t="s">
        <v>62</v>
      </c>
      <c r="C56" s="2">
        <v>45613</v>
      </c>
      <c r="D56" s="2">
        <v>45643</v>
      </c>
      <c r="E56">
        <v>13177.81</v>
      </c>
      <c r="F56">
        <v>0</v>
      </c>
      <c r="G56">
        <v>13177.81</v>
      </c>
      <c r="H56" t="s">
        <v>132</v>
      </c>
      <c r="I56">
        <v>29</v>
      </c>
      <c r="J56" t="s">
        <v>146</v>
      </c>
      <c r="K56" t="s">
        <v>170</v>
      </c>
      <c r="L56" t="s">
        <v>246</v>
      </c>
      <c r="M56" t="s">
        <v>19</v>
      </c>
    </row>
    <row r="57" spans="1:13" x14ac:dyDescent="0.35">
      <c r="A57" t="s">
        <v>247</v>
      </c>
      <c r="B57" t="s">
        <v>62</v>
      </c>
      <c r="C57" s="2">
        <v>45629</v>
      </c>
      <c r="D57" s="2">
        <v>45659</v>
      </c>
      <c r="E57">
        <v>39255.339999999997</v>
      </c>
      <c r="F57">
        <v>39255.339999999997</v>
      </c>
      <c r="G57">
        <v>0</v>
      </c>
      <c r="H57" t="s">
        <v>132</v>
      </c>
      <c r="I57">
        <v>13</v>
      </c>
      <c r="J57" t="s">
        <v>140</v>
      </c>
      <c r="K57" t="s">
        <v>163</v>
      </c>
      <c r="L57" t="s">
        <v>248</v>
      </c>
      <c r="M57" t="s">
        <v>19</v>
      </c>
    </row>
    <row r="58" spans="1:13" x14ac:dyDescent="0.35">
      <c r="A58" t="s">
        <v>249</v>
      </c>
      <c r="B58" t="s">
        <v>62</v>
      </c>
      <c r="C58" s="2">
        <v>45670</v>
      </c>
      <c r="D58" s="2">
        <v>45700</v>
      </c>
      <c r="E58">
        <v>38706.089999999997</v>
      </c>
      <c r="F58">
        <v>0</v>
      </c>
      <c r="G58">
        <v>38706.089999999997</v>
      </c>
      <c r="H58" t="s">
        <v>132</v>
      </c>
      <c r="I58">
        <v>0</v>
      </c>
      <c r="J58" t="s">
        <v>146</v>
      </c>
      <c r="K58" t="s">
        <v>170</v>
      </c>
      <c r="L58" t="s">
        <v>159</v>
      </c>
      <c r="M58" t="s">
        <v>19</v>
      </c>
    </row>
    <row r="59" spans="1:13" x14ac:dyDescent="0.35">
      <c r="A59" t="s">
        <v>250</v>
      </c>
      <c r="B59" t="s">
        <v>66</v>
      </c>
      <c r="C59" s="2">
        <v>45667</v>
      </c>
      <c r="D59" s="2">
        <v>45667</v>
      </c>
      <c r="E59">
        <v>38940.49</v>
      </c>
      <c r="F59">
        <v>7763.2</v>
      </c>
      <c r="G59">
        <v>31177.29</v>
      </c>
      <c r="H59" t="s">
        <v>132</v>
      </c>
      <c r="I59">
        <v>5</v>
      </c>
      <c r="J59" t="s">
        <v>133</v>
      </c>
      <c r="K59" t="s">
        <v>190</v>
      </c>
      <c r="L59" t="s">
        <v>251</v>
      </c>
      <c r="M59" t="s">
        <v>25</v>
      </c>
    </row>
    <row r="60" spans="1:13" x14ac:dyDescent="0.35">
      <c r="A60" t="s">
        <v>252</v>
      </c>
      <c r="B60" t="s">
        <v>66</v>
      </c>
      <c r="C60" s="2">
        <v>45587</v>
      </c>
      <c r="D60" s="2">
        <v>45587</v>
      </c>
      <c r="E60">
        <v>10147.530000000001</v>
      </c>
      <c r="F60">
        <v>4718.95</v>
      </c>
      <c r="G60">
        <v>5428.5800000000008</v>
      </c>
      <c r="H60" t="s">
        <v>137</v>
      </c>
      <c r="I60">
        <v>85</v>
      </c>
      <c r="J60" t="s">
        <v>133</v>
      </c>
      <c r="K60" t="s">
        <v>170</v>
      </c>
      <c r="M60" t="s">
        <v>25</v>
      </c>
    </row>
    <row r="61" spans="1:13" x14ac:dyDescent="0.35">
      <c r="A61" t="s">
        <v>253</v>
      </c>
      <c r="B61" t="s">
        <v>66</v>
      </c>
      <c r="C61" s="2">
        <v>45595</v>
      </c>
      <c r="D61" s="2">
        <v>45595</v>
      </c>
      <c r="E61">
        <v>48368.06</v>
      </c>
      <c r="F61">
        <v>37620.28</v>
      </c>
      <c r="G61">
        <v>10747.78</v>
      </c>
      <c r="H61" t="s">
        <v>137</v>
      </c>
      <c r="I61">
        <v>77</v>
      </c>
      <c r="J61" t="s">
        <v>133</v>
      </c>
      <c r="K61" t="s">
        <v>163</v>
      </c>
      <c r="M61" t="s">
        <v>25</v>
      </c>
    </row>
    <row r="62" spans="1:13" x14ac:dyDescent="0.35">
      <c r="A62" t="s">
        <v>254</v>
      </c>
      <c r="B62" t="s">
        <v>66</v>
      </c>
      <c r="C62" s="2">
        <v>45669</v>
      </c>
      <c r="D62" s="2">
        <v>45669</v>
      </c>
      <c r="E62">
        <v>46799.92</v>
      </c>
      <c r="F62">
        <v>42495.55</v>
      </c>
      <c r="G62">
        <v>4304.3699999999953</v>
      </c>
      <c r="H62" t="s">
        <v>132</v>
      </c>
      <c r="I62">
        <v>3</v>
      </c>
      <c r="J62" t="s">
        <v>133</v>
      </c>
      <c r="K62" t="s">
        <v>144</v>
      </c>
      <c r="M62" t="s">
        <v>25</v>
      </c>
    </row>
    <row r="63" spans="1:13" x14ac:dyDescent="0.35">
      <c r="A63" t="s">
        <v>255</v>
      </c>
      <c r="B63" t="s">
        <v>66</v>
      </c>
      <c r="C63" s="2">
        <v>45584</v>
      </c>
      <c r="D63" s="2">
        <v>45584</v>
      </c>
      <c r="E63">
        <v>42375.72</v>
      </c>
      <c r="F63">
        <v>0</v>
      </c>
      <c r="G63">
        <v>42375.72</v>
      </c>
      <c r="H63" t="s">
        <v>137</v>
      </c>
      <c r="I63">
        <v>88</v>
      </c>
      <c r="J63" t="s">
        <v>146</v>
      </c>
      <c r="K63" t="s">
        <v>163</v>
      </c>
      <c r="L63" t="s">
        <v>256</v>
      </c>
      <c r="M63" t="s">
        <v>25</v>
      </c>
    </row>
    <row r="64" spans="1:13" x14ac:dyDescent="0.35">
      <c r="A64" t="s">
        <v>257</v>
      </c>
      <c r="B64" t="s">
        <v>66</v>
      </c>
      <c r="C64" s="2">
        <v>45569</v>
      </c>
      <c r="D64" s="2">
        <v>45569</v>
      </c>
      <c r="E64">
        <v>10447.48</v>
      </c>
      <c r="F64">
        <v>8176.57</v>
      </c>
      <c r="G64">
        <v>2270.91</v>
      </c>
      <c r="H64" t="s">
        <v>230</v>
      </c>
      <c r="I64">
        <v>103</v>
      </c>
      <c r="J64" t="s">
        <v>133</v>
      </c>
      <c r="K64" t="s">
        <v>138</v>
      </c>
      <c r="L64" t="s">
        <v>159</v>
      </c>
      <c r="M64" t="s">
        <v>25</v>
      </c>
    </row>
    <row r="65" spans="1:13" x14ac:dyDescent="0.35">
      <c r="A65" t="s">
        <v>258</v>
      </c>
      <c r="B65" t="s">
        <v>66</v>
      </c>
      <c r="C65" s="2">
        <v>45608</v>
      </c>
      <c r="D65" s="2">
        <v>45608</v>
      </c>
      <c r="E65">
        <v>34139.449999999997</v>
      </c>
      <c r="F65">
        <v>0</v>
      </c>
      <c r="G65">
        <v>34139.449999999997</v>
      </c>
      <c r="H65" t="s">
        <v>137</v>
      </c>
      <c r="I65">
        <v>64</v>
      </c>
      <c r="J65" t="s">
        <v>146</v>
      </c>
      <c r="K65" t="s">
        <v>138</v>
      </c>
      <c r="L65" t="s">
        <v>259</v>
      </c>
      <c r="M65" t="s">
        <v>25</v>
      </c>
    </row>
    <row r="66" spans="1:13" x14ac:dyDescent="0.35">
      <c r="A66" t="s">
        <v>260</v>
      </c>
      <c r="B66" t="s">
        <v>66</v>
      </c>
      <c r="C66" s="2">
        <v>45617</v>
      </c>
      <c r="D66" s="2">
        <v>45617</v>
      </c>
      <c r="E66">
        <v>48235.44</v>
      </c>
      <c r="F66">
        <v>39973.06</v>
      </c>
      <c r="G66">
        <v>8262.3800000000047</v>
      </c>
      <c r="H66" t="s">
        <v>168</v>
      </c>
      <c r="I66">
        <v>55</v>
      </c>
      <c r="J66" t="s">
        <v>133</v>
      </c>
      <c r="K66" t="s">
        <v>138</v>
      </c>
      <c r="M66" t="s">
        <v>25</v>
      </c>
    </row>
    <row r="67" spans="1:13" x14ac:dyDescent="0.35">
      <c r="A67" t="s">
        <v>261</v>
      </c>
      <c r="B67" t="s">
        <v>71</v>
      </c>
      <c r="C67" s="2">
        <v>45589</v>
      </c>
      <c r="D67" s="2">
        <v>45634</v>
      </c>
      <c r="E67">
        <v>17153.71</v>
      </c>
      <c r="F67">
        <v>9231.66</v>
      </c>
      <c r="G67">
        <v>7922.0499999999993</v>
      </c>
      <c r="H67" t="s">
        <v>168</v>
      </c>
      <c r="I67">
        <v>38</v>
      </c>
      <c r="J67" t="s">
        <v>133</v>
      </c>
      <c r="K67" t="s">
        <v>138</v>
      </c>
      <c r="L67" t="s">
        <v>262</v>
      </c>
      <c r="M67" t="s">
        <v>31</v>
      </c>
    </row>
    <row r="68" spans="1:13" x14ac:dyDescent="0.35">
      <c r="A68" t="s">
        <v>263</v>
      </c>
      <c r="B68" t="s">
        <v>71</v>
      </c>
      <c r="C68" s="2">
        <v>45638</v>
      </c>
      <c r="D68" s="2">
        <v>45683</v>
      </c>
      <c r="E68">
        <v>19503.71</v>
      </c>
      <c r="F68">
        <v>0</v>
      </c>
      <c r="G68">
        <v>19503.71</v>
      </c>
      <c r="H68" t="s">
        <v>132</v>
      </c>
      <c r="I68">
        <v>0</v>
      </c>
      <c r="J68" t="s">
        <v>146</v>
      </c>
      <c r="K68" t="s">
        <v>158</v>
      </c>
      <c r="L68" t="s">
        <v>264</v>
      </c>
      <c r="M68" t="s">
        <v>31</v>
      </c>
    </row>
    <row r="69" spans="1:13" x14ac:dyDescent="0.35">
      <c r="A69" t="s">
        <v>265</v>
      </c>
      <c r="B69" t="s">
        <v>71</v>
      </c>
      <c r="C69" s="2">
        <v>45641</v>
      </c>
      <c r="D69" s="2">
        <v>45686</v>
      </c>
      <c r="E69">
        <v>38771.43</v>
      </c>
      <c r="F69">
        <v>25906.62</v>
      </c>
      <c r="G69">
        <v>12864.81</v>
      </c>
      <c r="H69" t="s">
        <v>132</v>
      </c>
      <c r="I69">
        <v>0</v>
      </c>
      <c r="J69" t="s">
        <v>133</v>
      </c>
      <c r="K69" t="s">
        <v>134</v>
      </c>
      <c r="L69" t="s">
        <v>266</v>
      </c>
      <c r="M69" t="s">
        <v>31</v>
      </c>
    </row>
    <row r="70" spans="1:13" x14ac:dyDescent="0.35">
      <c r="A70" t="s">
        <v>267</v>
      </c>
      <c r="B70" t="s">
        <v>71</v>
      </c>
      <c r="C70" s="2">
        <v>45610</v>
      </c>
      <c r="D70" s="2">
        <v>45655</v>
      </c>
      <c r="E70">
        <v>14545.39</v>
      </c>
      <c r="F70">
        <v>14545.39</v>
      </c>
      <c r="G70">
        <v>0</v>
      </c>
      <c r="H70" t="s">
        <v>132</v>
      </c>
      <c r="I70">
        <v>17</v>
      </c>
      <c r="J70" t="s">
        <v>140</v>
      </c>
      <c r="K70" t="s">
        <v>163</v>
      </c>
      <c r="L70" t="s">
        <v>268</v>
      </c>
      <c r="M70" t="s">
        <v>31</v>
      </c>
    </row>
    <row r="71" spans="1:13" x14ac:dyDescent="0.35">
      <c r="A71" t="s">
        <v>269</v>
      </c>
      <c r="B71" t="s">
        <v>71</v>
      </c>
      <c r="C71" s="2">
        <v>45648</v>
      </c>
      <c r="D71" s="2">
        <v>45693</v>
      </c>
      <c r="E71">
        <v>8852.58</v>
      </c>
      <c r="F71">
        <v>4325.17</v>
      </c>
      <c r="G71">
        <v>4527.41</v>
      </c>
      <c r="H71" t="s">
        <v>132</v>
      </c>
      <c r="I71">
        <v>0</v>
      </c>
      <c r="J71" t="s">
        <v>133</v>
      </c>
      <c r="K71" t="s">
        <v>134</v>
      </c>
      <c r="L71" t="s">
        <v>270</v>
      </c>
      <c r="M71" t="s">
        <v>31</v>
      </c>
    </row>
    <row r="72" spans="1:13" x14ac:dyDescent="0.35">
      <c r="A72" t="s">
        <v>271</v>
      </c>
      <c r="B72" t="s">
        <v>71</v>
      </c>
      <c r="C72" s="2">
        <v>45615</v>
      </c>
      <c r="D72" s="2">
        <v>45660</v>
      </c>
      <c r="E72">
        <v>40681.980000000003</v>
      </c>
      <c r="F72">
        <v>0</v>
      </c>
      <c r="G72">
        <v>40681.980000000003</v>
      </c>
      <c r="H72" t="s">
        <v>132</v>
      </c>
      <c r="I72">
        <v>12</v>
      </c>
      <c r="J72" t="s">
        <v>146</v>
      </c>
      <c r="K72" t="s">
        <v>144</v>
      </c>
      <c r="L72" t="s">
        <v>272</v>
      </c>
      <c r="M72" t="s">
        <v>31</v>
      </c>
    </row>
    <row r="73" spans="1:13" x14ac:dyDescent="0.35">
      <c r="A73" t="s">
        <v>273</v>
      </c>
      <c r="B73" t="s">
        <v>71</v>
      </c>
      <c r="C73" s="2">
        <v>45633</v>
      </c>
      <c r="D73" s="2">
        <v>45678</v>
      </c>
      <c r="E73">
        <v>34878.199999999997</v>
      </c>
      <c r="F73">
        <v>19304.14</v>
      </c>
      <c r="G73">
        <v>15574.06</v>
      </c>
      <c r="H73" t="s">
        <v>132</v>
      </c>
      <c r="I73">
        <v>0</v>
      </c>
      <c r="J73" t="s">
        <v>133</v>
      </c>
      <c r="K73" t="s">
        <v>170</v>
      </c>
      <c r="L73" t="s">
        <v>274</v>
      </c>
      <c r="M73" t="s">
        <v>31</v>
      </c>
    </row>
    <row r="74" spans="1:13" x14ac:dyDescent="0.35">
      <c r="A74" t="s">
        <v>275</v>
      </c>
      <c r="B74" t="s">
        <v>75</v>
      </c>
      <c r="C74" s="2">
        <v>45633</v>
      </c>
      <c r="D74" s="2">
        <v>45633</v>
      </c>
      <c r="E74">
        <v>16313.17</v>
      </c>
      <c r="F74">
        <v>0</v>
      </c>
      <c r="G74">
        <v>16313.17</v>
      </c>
      <c r="H74" t="s">
        <v>168</v>
      </c>
      <c r="I74">
        <v>39</v>
      </c>
      <c r="J74" t="s">
        <v>146</v>
      </c>
      <c r="K74" t="s">
        <v>144</v>
      </c>
      <c r="L74" t="s">
        <v>276</v>
      </c>
      <c r="M74" t="s">
        <v>25</v>
      </c>
    </row>
    <row r="75" spans="1:13" x14ac:dyDescent="0.35">
      <c r="A75" t="s">
        <v>277</v>
      </c>
      <c r="B75" t="s">
        <v>75</v>
      </c>
      <c r="C75" s="2">
        <v>45604</v>
      </c>
      <c r="D75" s="2">
        <v>45604</v>
      </c>
      <c r="E75">
        <v>47789.49</v>
      </c>
      <c r="F75">
        <v>9153.65</v>
      </c>
      <c r="G75">
        <v>38635.839999999997</v>
      </c>
      <c r="H75" t="s">
        <v>137</v>
      </c>
      <c r="I75">
        <v>68</v>
      </c>
      <c r="J75" t="s">
        <v>133</v>
      </c>
      <c r="K75" t="s">
        <v>163</v>
      </c>
      <c r="L75" t="s">
        <v>278</v>
      </c>
      <c r="M75" t="s">
        <v>25</v>
      </c>
    </row>
    <row r="76" spans="1:13" x14ac:dyDescent="0.35">
      <c r="A76" t="s">
        <v>279</v>
      </c>
      <c r="B76" t="s">
        <v>75</v>
      </c>
      <c r="C76" s="2">
        <v>45605</v>
      </c>
      <c r="D76" s="2">
        <v>45605</v>
      </c>
      <c r="E76">
        <v>31855.58</v>
      </c>
      <c r="F76">
        <v>26523.86</v>
      </c>
      <c r="G76">
        <v>5331.7200000000012</v>
      </c>
      <c r="H76" t="s">
        <v>137</v>
      </c>
      <c r="I76">
        <v>67</v>
      </c>
      <c r="J76" t="s">
        <v>133</v>
      </c>
      <c r="K76" t="s">
        <v>170</v>
      </c>
      <c r="M76" t="s">
        <v>25</v>
      </c>
    </row>
    <row r="77" spans="1:13" x14ac:dyDescent="0.35">
      <c r="A77" t="s">
        <v>280</v>
      </c>
      <c r="B77" t="s">
        <v>75</v>
      </c>
      <c r="C77" s="2">
        <v>45671</v>
      </c>
      <c r="D77" s="2">
        <v>45671</v>
      </c>
      <c r="E77">
        <v>36860.83</v>
      </c>
      <c r="F77">
        <v>0</v>
      </c>
      <c r="G77">
        <v>36860.83</v>
      </c>
      <c r="H77" t="s">
        <v>132</v>
      </c>
      <c r="I77">
        <v>1</v>
      </c>
      <c r="J77" t="s">
        <v>146</v>
      </c>
      <c r="K77" t="s">
        <v>141</v>
      </c>
      <c r="L77" t="s">
        <v>281</v>
      </c>
      <c r="M77" t="s">
        <v>25</v>
      </c>
    </row>
    <row r="78" spans="1:13" x14ac:dyDescent="0.35">
      <c r="A78" t="s">
        <v>282</v>
      </c>
      <c r="B78" t="s">
        <v>75</v>
      </c>
      <c r="C78" s="2">
        <v>45635</v>
      </c>
      <c r="D78" s="2">
        <v>45635</v>
      </c>
      <c r="E78">
        <v>36383.78</v>
      </c>
      <c r="F78">
        <v>0</v>
      </c>
      <c r="G78">
        <v>36383.78</v>
      </c>
      <c r="H78" t="s">
        <v>168</v>
      </c>
      <c r="I78">
        <v>37</v>
      </c>
      <c r="J78" t="s">
        <v>146</v>
      </c>
      <c r="K78" t="s">
        <v>134</v>
      </c>
      <c r="M78" t="s">
        <v>25</v>
      </c>
    </row>
    <row r="79" spans="1:13" x14ac:dyDescent="0.35">
      <c r="A79" t="s">
        <v>283</v>
      </c>
      <c r="B79" t="s">
        <v>80</v>
      </c>
      <c r="C79" s="2">
        <v>45599</v>
      </c>
      <c r="D79" s="2">
        <v>45629</v>
      </c>
      <c r="E79">
        <v>17795.27</v>
      </c>
      <c r="F79">
        <v>17795.27</v>
      </c>
      <c r="G79">
        <v>0</v>
      </c>
      <c r="H79" t="s">
        <v>168</v>
      </c>
      <c r="I79">
        <v>43</v>
      </c>
      <c r="J79" t="s">
        <v>140</v>
      </c>
      <c r="K79" t="s">
        <v>163</v>
      </c>
      <c r="L79" t="s">
        <v>284</v>
      </c>
      <c r="M79" t="s">
        <v>19</v>
      </c>
    </row>
    <row r="80" spans="1:13" x14ac:dyDescent="0.35">
      <c r="A80" t="s">
        <v>285</v>
      </c>
      <c r="B80" t="s">
        <v>80</v>
      </c>
      <c r="C80" s="2">
        <v>45658</v>
      </c>
      <c r="D80" s="2">
        <v>45688</v>
      </c>
      <c r="E80">
        <v>41995.199999999997</v>
      </c>
      <c r="F80">
        <v>3111.1</v>
      </c>
      <c r="G80">
        <v>38884.1</v>
      </c>
      <c r="H80" t="s">
        <v>132</v>
      </c>
      <c r="I80">
        <v>0</v>
      </c>
      <c r="J80" t="s">
        <v>133</v>
      </c>
      <c r="K80" t="s">
        <v>141</v>
      </c>
      <c r="M80" t="s">
        <v>19</v>
      </c>
    </row>
    <row r="81" spans="1:13" x14ac:dyDescent="0.35">
      <c r="A81" t="s">
        <v>286</v>
      </c>
      <c r="B81" t="s">
        <v>80</v>
      </c>
      <c r="C81" s="2">
        <v>45569</v>
      </c>
      <c r="D81" s="2">
        <v>45599</v>
      </c>
      <c r="E81">
        <v>30327.78</v>
      </c>
      <c r="F81">
        <v>30143.33</v>
      </c>
      <c r="G81">
        <v>184.44999999999709</v>
      </c>
      <c r="H81" t="s">
        <v>137</v>
      </c>
      <c r="I81">
        <v>73</v>
      </c>
      <c r="J81" t="s">
        <v>133</v>
      </c>
      <c r="K81" t="s">
        <v>138</v>
      </c>
      <c r="L81" t="s">
        <v>287</v>
      </c>
      <c r="M81" t="s">
        <v>19</v>
      </c>
    </row>
    <row r="82" spans="1:13" x14ac:dyDescent="0.35">
      <c r="A82" t="s">
        <v>288</v>
      </c>
      <c r="B82" t="s">
        <v>85</v>
      </c>
      <c r="C82" s="2">
        <v>45644</v>
      </c>
      <c r="D82" s="2">
        <v>45674</v>
      </c>
      <c r="E82">
        <v>39906.21</v>
      </c>
      <c r="F82">
        <v>36254.97</v>
      </c>
      <c r="G82">
        <v>3651.239999999998</v>
      </c>
      <c r="H82" t="s">
        <v>132</v>
      </c>
      <c r="I82">
        <v>0</v>
      </c>
      <c r="J82" t="s">
        <v>133</v>
      </c>
      <c r="K82" t="s">
        <v>138</v>
      </c>
      <c r="L82" t="s">
        <v>289</v>
      </c>
      <c r="M82" t="s">
        <v>19</v>
      </c>
    </row>
    <row r="83" spans="1:13" x14ac:dyDescent="0.35">
      <c r="A83" t="s">
        <v>290</v>
      </c>
      <c r="B83" t="s">
        <v>85</v>
      </c>
      <c r="C83" s="2">
        <v>45665</v>
      </c>
      <c r="D83" s="2">
        <v>45695</v>
      </c>
      <c r="E83">
        <v>32433.39</v>
      </c>
      <c r="F83">
        <v>30733.56</v>
      </c>
      <c r="G83">
        <v>1699.8299999999981</v>
      </c>
      <c r="H83" t="s">
        <v>132</v>
      </c>
      <c r="I83">
        <v>0</v>
      </c>
      <c r="J83" t="s">
        <v>133</v>
      </c>
      <c r="K83" t="s">
        <v>144</v>
      </c>
      <c r="L83" t="s">
        <v>291</v>
      </c>
      <c r="M83" t="s">
        <v>19</v>
      </c>
    </row>
    <row r="84" spans="1:13" x14ac:dyDescent="0.35">
      <c r="A84" t="s">
        <v>292</v>
      </c>
      <c r="B84" t="s">
        <v>85</v>
      </c>
      <c r="C84" s="2">
        <v>45652</v>
      </c>
      <c r="D84" s="2">
        <v>45682</v>
      </c>
      <c r="E84">
        <v>15793.93</v>
      </c>
      <c r="F84">
        <v>2472.27</v>
      </c>
      <c r="G84">
        <v>13321.66</v>
      </c>
      <c r="H84" t="s">
        <v>132</v>
      </c>
      <c r="I84">
        <v>0</v>
      </c>
      <c r="J84" t="s">
        <v>133</v>
      </c>
      <c r="K84" t="s">
        <v>134</v>
      </c>
      <c r="L84" t="s">
        <v>293</v>
      </c>
      <c r="M84" t="s">
        <v>19</v>
      </c>
    </row>
    <row r="85" spans="1:13" x14ac:dyDescent="0.35">
      <c r="A85" t="s">
        <v>294</v>
      </c>
      <c r="B85" t="s">
        <v>85</v>
      </c>
      <c r="C85" s="2">
        <v>45636</v>
      </c>
      <c r="D85" s="2">
        <v>45666</v>
      </c>
      <c r="E85">
        <v>36813.01</v>
      </c>
      <c r="F85">
        <v>16714.259999999998</v>
      </c>
      <c r="G85">
        <v>20098.75</v>
      </c>
      <c r="H85" t="s">
        <v>132</v>
      </c>
      <c r="I85">
        <v>6</v>
      </c>
      <c r="J85" t="s">
        <v>133</v>
      </c>
      <c r="K85" t="s">
        <v>163</v>
      </c>
      <c r="L85" t="s">
        <v>295</v>
      </c>
      <c r="M85" t="s">
        <v>19</v>
      </c>
    </row>
    <row r="86" spans="1:13" x14ac:dyDescent="0.35">
      <c r="A86" t="s">
        <v>296</v>
      </c>
      <c r="B86" t="s">
        <v>85</v>
      </c>
      <c r="C86" s="2">
        <v>45597</v>
      </c>
      <c r="D86" s="2">
        <v>45627</v>
      </c>
      <c r="E86">
        <v>34753.24</v>
      </c>
      <c r="F86">
        <v>14774.96</v>
      </c>
      <c r="G86">
        <v>19978.28</v>
      </c>
      <c r="H86" t="s">
        <v>168</v>
      </c>
      <c r="I86">
        <v>45</v>
      </c>
      <c r="J86" t="s">
        <v>133</v>
      </c>
      <c r="K86" t="s">
        <v>190</v>
      </c>
      <c r="L86" t="s">
        <v>297</v>
      </c>
      <c r="M86" t="s">
        <v>19</v>
      </c>
    </row>
    <row r="87" spans="1:13" x14ac:dyDescent="0.35">
      <c r="A87" t="s">
        <v>298</v>
      </c>
      <c r="B87" t="s">
        <v>85</v>
      </c>
      <c r="C87" s="2">
        <v>45654</v>
      </c>
      <c r="D87" s="2">
        <v>45684</v>
      </c>
      <c r="E87">
        <v>8213.44</v>
      </c>
      <c r="F87">
        <v>0</v>
      </c>
      <c r="G87">
        <v>8213.44</v>
      </c>
      <c r="H87" t="s">
        <v>132</v>
      </c>
      <c r="I87">
        <v>0</v>
      </c>
      <c r="J87" t="s">
        <v>146</v>
      </c>
      <c r="K87" t="s">
        <v>163</v>
      </c>
      <c r="L87" t="s">
        <v>299</v>
      </c>
      <c r="M87" t="s">
        <v>19</v>
      </c>
    </row>
    <row r="88" spans="1:13" x14ac:dyDescent="0.35">
      <c r="A88" t="s">
        <v>300</v>
      </c>
      <c r="B88" t="s">
        <v>85</v>
      </c>
      <c r="C88" s="2">
        <v>45600</v>
      </c>
      <c r="D88" s="2">
        <v>45630</v>
      </c>
      <c r="E88">
        <v>46453.66</v>
      </c>
      <c r="F88">
        <v>21772.74</v>
      </c>
      <c r="G88">
        <v>24680.92</v>
      </c>
      <c r="H88" t="s">
        <v>168</v>
      </c>
      <c r="I88">
        <v>42</v>
      </c>
      <c r="J88" t="s">
        <v>133</v>
      </c>
      <c r="K88" t="s">
        <v>138</v>
      </c>
      <c r="L88" t="s">
        <v>301</v>
      </c>
      <c r="M88" t="s">
        <v>19</v>
      </c>
    </row>
    <row r="89" spans="1:13" x14ac:dyDescent="0.35">
      <c r="A89" t="s">
        <v>302</v>
      </c>
      <c r="B89" t="s">
        <v>87</v>
      </c>
      <c r="C89" s="2">
        <v>45609</v>
      </c>
      <c r="D89" s="2">
        <v>45609</v>
      </c>
      <c r="E89">
        <v>24699.15</v>
      </c>
      <c r="F89">
        <v>21967.99</v>
      </c>
      <c r="G89">
        <v>2731.16</v>
      </c>
      <c r="H89" t="s">
        <v>137</v>
      </c>
      <c r="I89">
        <v>63</v>
      </c>
      <c r="J89" t="s">
        <v>133</v>
      </c>
      <c r="K89" t="s">
        <v>163</v>
      </c>
      <c r="M89" t="s">
        <v>25</v>
      </c>
    </row>
    <row r="90" spans="1:13" x14ac:dyDescent="0.35">
      <c r="A90" t="s">
        <v>303</v>
      </c>
      <c r="B90" t="s">
        <v>87</v>
      </c>
      <c r="C90" s="2">
        <v>45643</v>
      </c>
      <c r="D90" s="2">
        <v>45643</v>
      </c>
      <c r="E90">
        <v>48286</v>
      </c>
      <c r="F90">
        <v>48286</v>
      </c>
      <c r="G90">
        <v>0</v>
      </c>
      <c r="H90" t="s">
        <v>132</v>
      </c>
      <c r="I90">
        <v>29</v>
      </c>
      <c r="J90" t="s">
        <v>140</v>
      </c>
      <c r="K90" t="s">
        <v>163</v>
      </c>
      <c r="L90" t="s">
        <v>304</v>
      </c>
      <c r="M90" t="s">
        <v>25</v>
      </c>
    </row>
    <row r="91" spans="1:13" x14ac:dyDescent="0.35">
      <c r="A91" t="s">
        <v>305</v>
      </c>
      <c r="B91" t="s">
        <v>87</v>
      </c>
      <c r="C91" s="2">
        <v>45576</v>
      </c>
      <c r="D91" s="2">
        <v>45576</v>
      </c>
      <c r="E91">
        <v>12883.58</v>
      </c>
      <c r="F91">
        <v>5697.5</v>
      </c>
      <c r="G91">
        <v>7186.08</v>
      </c>
      <c r="H91" t="s">
        <v>230</v>
      </c>
      <c r="I91">
        <v>96</v>
      </c>
      <c r="J91" t="s">
        <v>133</v>
      </c>
      <c r="K91" t="s">
        <v>138</v>
      </c>
      <c r="L91" t="s">
        <v>306</v>
      </c>
      <c r="M91" t="s">
        <v>25</v>
      </c>
    </row>
    <row r="92" spans="1:13" x14ac:dyDescent="0.35">
      <c r="A92" t="s">
        <v>307</v>
      </c>
      <c r="B92" t="s">
        <v>87</v>
      </c>
      <c r="C92" s="2">
        <v>45661</v>
      </c>
      <c r="D92" s="2">
        <v>45661</v>
      </c>
      <c r="E92">
        <v>26150.47</v>
      </c>
      <c r="F92">
        <v>8395.82</v>
      </c>
      <c r="G92">
        <v>17754.650000000001</v>
      </c>
      <c r="H92" t="s">
        <v>132</v>
      </c>
      <c r="I92">
        <v>11</v>
      </c>
      <c r="J92" t="s">
        <v>133</v>
      </c>
      <c r="K92" t="s">
        <v>190</v>
      </c>
      <c r="L92" t="s">
        <v>233</v>
      </c>
      <c r="M92" t="s">
        <v>25</v>
      </c>
    </row>
    <row r="93" spans="1:13" x14ac:dyDescent="0.35">
      <c r="A93" t="s">
        <v>308</v>
      </c>
      <c r="B93" t="s">
        <v>87</v>
      </c>
      <c r="C93" s="2">
        <v>45609</v>
      </c>
      <c r="D93" s="2">
        <v>45609</v>
      </c>
      <c r="E93">
        <v>17969.8</v>
      </c>
      <c r="F93">
        <v>14619.62</v>
      </c>
      <c r="G93">
        <v>3350.179999999998</v>
      </c>
      <c r="H93" t="s">
        <v>137</v>
      </c>
      <c r="I93">
        <v>63</v>
      </c>
      <c r="J93" t="s">
        <v>133</v>
      </c>
      <c r="K93" t="s">
        <v>134</v>
      </c>
      <c r="M93" t="s">
        <v>25</v>
      </c>
    </row>
    <row r="94" spans="1:13" x14ac:dyDescent="0.35">
      <c r="A94" t="s">
        <v>309</v>
      </c>
      <c r="B94" t="s">
        <v>87</v>
      </c>
      <c r="C94" s="2">
        <v>45640</v>
      </c>
      <c r="D94" s="2">
        <v>45640</v>
      </c>
      <c r="E94">
        <v>19547.32</v>
      </c>
      <c r="F94">
        <v>7900.54</v>
      </c>
      <c r="G94">
        <v>11646.78</v>
      </c>
      <c r="H94" t="s">
        <v>168</v>
      </c>
      <c r="I94">
        <v>32</v>
      </c>
      <c r="J94" t="s">
        <v>133</v>
      </c>
      <c r="K94" t="s">
        <v>141</v>
      </c>
      <c r="L94" t="s">
        <v>310</v>
      </c>
      <c r="M94" t="s">
        <v>25</v>
      </c>
    </row>
    <row r="95" spans="1:13" x14ac:dyDescent="0.35">
      <c r="A95" t="s">
        <v>311</v>
      </c>
      <c r="B95" t="s">
        <v>87</v>
      </c>
      <c r="C95" s="2">
        <v>45613</v>
      </c>
      <c r="D95" s="2">
        <v>45613</v>
      </c>
      <c r="E95">
        <v>23596.14</v>
      </c>
      <c r="F95">
        <v>0</v>
      </c>
      <c r="G95">
        <v>23596.14</v>
      </c>
      <c r="H95" t="s">
        <v>168</v>
      </c>
      <c r="I95">
        <v>59</v>
      </c>
      <c r="J95" t="s">
        <v>146</v>
      </c>
      <c r="K95" t="s">
        <v>170</v>
      </c>
      <c r="L95" t="s">
        <v>312</v>
      </c>
      <c r="M95" t="s">
        <v>25</v>
      </c>
    </row>
    <row r="96" spans="1:13" x14ac:dyDescent="0.35">
      <c r="A96" t="s">
        <v>313</v>
      </c>
      <c r="B96" t="s">
        <v>89</v>
      </c>
      <c r="C96" s="2">
        <v>45616</v>
      </c>
      <c r="D96" s="2">
        <v>45646</v>
      </c>
      <c r="E96">
        <v>39199.57</v>
      </c>
      <c r="F96">
        <v>0</v>
      </c>
      <c r="G96">
        <v>39199.57</v>
      </c>
      <c r="H96" t="s">
        <v>132</v>
      </c>
      <c r="I96">
        <v>26</v>
      </c>
      <c r="J96" t="s">
        <v>146</v>
      </c>
      <c r="K96" t="s">
        <v>190</v>
      </c>
      <c r="L96" t="s">
        <v>314</v>
      </c>
      <c r="M96" t="s">
        <v>19</v>
      </c>
    </row>
    <row r="97" spans="1:13" x14ac:dyDescent="0.35">
      <c r="A97" t="s">
        <v>315</v>
      </c>
      <c r="B97" t="s">
        <v>89</v>
      </c>
      <c r="C97" s="2">
        <v>45560</v>
      </c>
      <c r="D97" s="2">
        <v>45590</v>
      </c>
      <c r="E97">
        <v>36421.25</v>
      </c>
      <c r="F97">
        <v>0</v>
      </c>
      <c r="G97">
        <v>36421.25</v>
      </c>
      <c r="H97" t="s">
        <v>137</v>
      </c>
      <c r="I97">
        <v>82</v>
      </c>
      <c r="J97" t="s">
        <v>146</v>
      </c>
      <c r="K97" t="s">
        <v>144</v>
      </c>
      <c r="L97" t="s">
        <v>316</v>
      </c>
      <c r="M97" t="s">
        <v>19</v>
      </c>
    </row>
    <row r="98" spans="1:13" x14ac:dyDescent="0.35">
      <c r="A98" t="s">
        <v>317</v>
      </c>
      <c r="B98" t="s">
        <v>89</v>
      </c>
      <c r="C98" s="2">
        <v>45602</v>
      </c>
      <c r="D98" s="2">
        <v>45632</v>
      </c>
      <c r="E98">
        <v>5615.35</v>
      </c>
      <c r="F98">
        <v>5615.35</v>
      </c>
      <c r="G98">
        <v>0</v>
      </c>
      <c r="H98" t="s">
        <v>168</v>
      </c>
      <c r="I98">
        <v>40</v>
      </c>
      <c r="J98" t="s">
        <v>140</v>
      </c>
      <c r="K98" t="s">
        <v>158</v>
      </c>
      <c r="L98" t="s">
        <v>318</v>
      </c>
      <c r="M98" t="s">
        <v>19</v>
      </c>
    </row>
    <row r="99" spans="1:13" x14ac:dyDescent="0.35">
      <c r="A99" t="s">
        <v>319</v>
      </c>
      <c r="B99" t="s">
        <v>89</v>
      </c>
      <c r="C99" s="2">
        <v>45590</v>
      </c>
      <c r="D99" s="2">
        <v>45620</v>
      </c>
      <c r="E99">
        <v>42446.44</v>
      </c>
      <c r="F99">
        <v>30417.26</v>
      </c>
      <c r="G99">
        <v>12029.18</v>
      </c>
      <c r="H99" t="s">
        <v>168</v>
      </c>
      <c r="I99">
        <v>52</v>
      </c>
      <c r="J99" t="s">
        <v>133</v>
      </c>
      <c r="K99" t="s">
        <v>163</v>
      </c>
      <c r="L99" t="s">
        <v>320</v>
      </c>
      <c r="M99" t="s">
        <v>19</v>
      </c>
    </row>
    <row r="100" spans="1:13" x14ac:dyDescent="0.35">
      <c r="A100" t="s">
        <v>321</v>
      </c>
      <c r="B100" t="s">
        <v>89</v>
      </c>
      <c r="C100" s="2">
        <v>45612</v>
      </c>
      <c r="D100" s="2">
        <v>45642</v>
      </c>
      <c r="E100">
        <v>15967.89</v>
      </c>
      <c r="F100">
        <v>15967.89</v>
      </c>
      <c r="G100">
        <v>0</v>
      </c>
      <c r="H100" t="s">
        <v>132</v>
      </c>
      <c r="I100">
        <v>30</v>
      </c>
      <c r="J100" t="s">
        <v>140</v>
      </c>
      <c r="K100" t="s">
        <v>190</v>
      </c>
      <c r="L100" t="s">
        <v>322</v>
      </c>
      <c r="M100" t="s">
        <v>19</v>
      </c>
    </row>
    <row r="101" spans="1:13" x14ac:dyDescent="0.35">
      <c r="A101" t="s">
        <v>323</v>
      </c>
      <c r="B101" t="s">
        <v>89</v>
      </c>
      <c r="C101" s="2">
        <v>45574</v>
      </c>
      <c r="D101" s="2">
        <v>45604</v>
      </c>
      <c r="E101">
        <v>40550.28</v>
      </c>
      <c r="F101">
        <v>37884.03</v>
      </c>
      <c r="G101">
        <v>2666.25</v>
      </c>
      <c r="H101" t="s">
        <v>137</v>
      </c>
      <c r="I101">
        <v>68</v>
      </c>
      <c r="J101" t="s">
        <v>133</v>
      </c>
      <c r="K101" t="s">
        <v>141</v>
      </c>
      <c r="L101" t="s">
        <v>324</v>
      </c>
      <c r="M101" t="s">
        <v>19</v>
      </c>
    </row>
    <row r="102" spans="1:13" x14ac:dyDescent="0.35">
      <c r="A102" t="s">
        <v>325</v>
      </c>
      <c r="B102" t="s">
        <v>89</v>
      </c>
      <c r="C102" s="2">
        <v>45565</v>
      </c>
      <c r="D102" s="2">
        <v>45595</v>
      </c>
      <c r="E102">
        <v>31412.2</v>
      </c>
      <c r="F102">
        <v>15380.68</v>
      </c>
      <c r="G102">
        <v>16031.52</v>
      </c>
      <c r="H102" t="s">
        <v>137</v>
      </c>
      <c r="I102">
        <v>77</v>
      </c>
      <c r="J102" t="s">
        <v>133</v>
      </c>
      <c r="K102" t="s">
        <v>134</v>
      </c>
      <c r="L102" t="s">
        <v>326</v>
      </c>
      <c r="M102" t="s">
        <v>19</v>
      </c>
    </row>
    <row r="103" spans="1:13" x14ac:dyDescent="0.35">
      <c r="A103" t="s">
        <v>327</v>
      </c>
      <c r="B103" t="s">
        <v>89</v>
      </c>
      <c r="C103" s="2">
        <v>45575</v>
      </c>
      <c r="D103" s="2">
        <v>45605</v>
      </c>
      <c r="E103">
        <v>29454.35</v>
      </c>
      <c r="F103">
        <v>9477.74</v>
      </c>
      <c r="G103">
        <v>19976.61</v>
      </c>
      <c r="H103" t="s">
        <v>137</v>
      </c>
      <c r="I103">
        <v>67</v>
      </c>
      <c r="J103" t="s">
        <v>133</v>
      </c>
      <c r="K103" t="s">
        <v>144</v>
      </c>
      <c r="L103" t="s">
        <v>328</v>
      </c>
      <c r="M103" t="s">
        <v>19</v>
      </c>
    </row>
    <row r="104" spans="1:13" x14ac:dyDescent="0.35">
      <c r="A104" t="s">
        <v>329</v>
      </c>
      <c r="B104" t="s">
        <v>94</v>
      </c>
      <c r="C104" s="2">
        <v>45667</v>
      </c>
      <c r="D104" s="2">
        <v>45682</v>
      </c>
      <c r="E104">
        <v>19317.93</v>
      </c>
      <c r="F104">
        <v>17645.580000000002</v>
      </c>
      <c r="G104">
        <v>1672.349999999999</v>
      </c>
      <c r="H104" t="s">
        <v>132</v>
      </c>
      <c r="I104">
        <v>0</v>
      </c>
      <c r="J104" t="s">
        <v>133</v>
      </c>
      <c r="K104" t="s">
        <v>190</v>
      </c>
      <c r="L104" t="s">
        <v>330</v>
      </c>
      <c r="M104" t="s">
        <v>13</v>
      </c>
    </row>
    <row r="105" spans="1:13" x14ac:dyDescent="0.35">
      <c r="A105" t="s">
        <v>331</v>
      </c>
      <c r="B105" t="s">
        <v>94</v>
      </c>
      <c r="C105" s="2">
        <v>45656</v>
      </c>
      <c r="D105" s="2">
        <v>45671</v>
      </c>
      <c r="E105">
        <v>27603.1</v>
      </c>
      <c r="F105">
        <v>27603.1</v>
      </c>
      <c r="G105">
        <v>0</v>
      </c>
      <c r="H105" t="s">
        <v>132</v>
      </c>
      <c r="I105">
        <v>1</v>
      </c>
      <c r="J105" t="s">
        <v>140</v>
      </c>
      <c r="K105" t="s">
        <v>134</v>
      </c>
      <c r="M105" t="s">
        <v>13</v>
      </c>
    </row>
    <row r="106" spans="1:13" x14ac:dyDescent="0.35">
      <c r="A106" t="s">
        <v>332</v>
      </c>
      <c r="B106" t="s">
        <v>94</v>
      </c>
      <c r="C106" s="2">
        <v>45556</v>
      </c>
      <c r="D106" s="2">
        <v>45571</v>
      </c>
      <c r="E106">
        <v>25561.759999999998</v>
      </c>
      <c r="F106">
        <v>10479.780000000001</v>
      </c>
      <c r="G106">
        <v>15081.98</v>
      </c>
      <c r="H106" t="s">
        <v>230</v>
      </c>
      <c r="I106">
        <v>101</v>
      </c>
      <c r="J106" t="s">
        <v>133</v>
      </c>
      <c r="K106" t="s">
        <v>190</v>
      </c>
      <c r="M106" t="s">
        <v>13</v>
      </c>
    </row>
    <row r="107" spans="1:13" x14ac:dyDescent="0.35">
      <c r="A107" t="s">
        <v>333</v>
      </c>
      <c r="B107" t="s">
        <v>94</v>
      </c>
      <c r="C107" s="2">
        <v>45572</v>
      </c>
      <c r="D107" s="2">
        <v>45587</v>
      </c>
      <c r="E107">
        <v>48614.16</v>
      </c>
      <c r="F107">
        <v>33675.25</v>
      </c>
      <c r="G107">
        <v>14938.91</v>
      </c>
      <c r="H107" t="s">
        <v>137</v>
      </c>
      <c r="I107">
        <v>85</v>
      </c>
      <c r="J107" t="s">
        <v>133</v>
      </c>
      <c r="K107" t="s">
        <v>170</v>
      </c>
      <c r="L107" t="s">
        <v>334</v>
      </c>
      <c r="M107" t="s">
        <v>13</v>
      </c>
    </row>
    <row r="108" spans="1:13" x14ac:dyDescent="0.35">
      <c r="A108" t="s">
        <v>335</v>
      </c>
      <c r="B108" t="s">
        <v>94</v>
      </c>
      <c r="C108" s="2">
        <v>45604</v>
      </c>
      <c r="D108" s="2">
        <v>45619</v>
      </c>
      <c r="E108">
        <v>22100.42</v>
      </c>
      <c r="F108">
        <v>15883.96</v>
      </c>
      <c r="G108">
        <v>6216.4599999999991</v>
      </c>
      <c r="H108" t="s">
        <v>168</v>
      </c>
      <c r="I108">
        <v>53</v>
      </c>
      <c r="J108" t="s">
        <v>133</v>
      </c>
      <c r="K108" t="s">
        <v>141</v>
      </c>
      <c r="L108" t="s">
        <v>336</v>
      </c>
      <c r="M108" t="s">
        <v>13</v>
      </c>
    </row>
    <row r="109" spans="1:13" x14ac:dyDescent="0.35">
      <c r="A109" t="s">
        <v>337</v>
      </c>
      <c r="B109" t="s">
        <v>94</v>
      </c>
      <c r="C109" s="2">
        <v>45592</v>
      </c>
      <c r="D109" s="2">
        <v>45607</v>
      </c>
      <c r="E109">
        <v>35797.980000000003</v>
      </c>
      <c r="F109">
        <v>0</v>
      </c>
      <c r="G109">
        <v>35797.980000000003</v>
      </c>
      <c r="H109" t="s">
        <v>137</v>
      </c>
      <c r="I109">
        <v>65</v>
      </c>
      <c r="J109" t="s">
        <v>146</v>
      </c>
      <c r="K109" t="s">
        <v>144</v>
      </c>
      <c r="L109" t="s">
        <v>338</v>
      </c>
      <c r="M109" t="s">
        <v>13</v>
      </c>
    </row>
    <row r="110" spans="1:13" x14ac:dyDescent="0.35">
      <c r="A110" t="s">
        <v>339</v>
      </c>
      <c r="B110" t="s">
        <v>98</v>
      </c>
      <c r="C110" s="2">
        <v>45575</v>
      </c>
      <c r="D110" s="2">
        <v>45605</v>
      </c>
      <c r="E110">
        <v>33518.65</v>
      </c>
      <c r="F110">
        <v>14871.51</v>
      </c>
      <c r="G110">
        <v>18647.14</v>
      </c>
      <c r="H110" t="s">
        <v>137</v>
      </c>
      <c r="I110">
        <v>67</v>
      </c>
      <c r="J110" t="s">
        <v>133</v>
      </c>
      <c r="K110" t="s">
        <v>141</v>
      </c>
      <c r="M110" t="s">
        <v>19</v>
      </c>
    </row>
    <row r="111" spans="1:13" x14ac:dyDescent="0.35">
      <c r="A111" t="s">
        <v>340</v>
      </c>
      <c r="B111" t="s">
        <v>98</v>
      </c>
      <c r="C111" s="2">
        <v>45571</v>
      </c>
      <c r="D111" s="2">
        <v>45601</v>
      </c>
      <c r="E111">
        <v>7525.37</v>
      </c>
      <c r="F111">
        <v>3241.08</v>
      </c>
      <c r="G111">
        <v>4284.29</v>
      </c>
      <c r="H111" t="s">
        <v>137</v>
      </c>
      <c r="I111">
        <v>71</v>
      </c>
      <c r="J111" t="s">
        <v>133</v>
      </c>
      <c r="K111" t="s">
        <v>138</v>
      </c>
      <c r="L111" t="s">
        <v>341</v>
      </c>
      <c r="M111" t="s">
        <v>19</v>
      </c>
    </row>
    <row r="112" spans="1:13" x14ac:dyDescent="0.35">
      <c r="A112" t="s">
        <v>342</v>
      </c>
      <c r="B112" t="s">
        <v>98</v>
      </c>
      <c r="C112" s="2">
        <v>45649</v>
      </c>
      <c r="D112" s="2">
        <v>45679</v>
      </c>
      <c r="E112">
        <v>12649.26</v>
      </c>
      <c r="F112">
        <v>0</v>
      </c>
      <c r="G112">
        <v>12649.26</v>
      </c>
      <c r="H112" t="s">
        <v>132</v>
      </c>
      <c r="I112">
        <v>0</v>
      </c>
      <c r="J112" t="s">
        <v>146</v>
      </c>
      <c r="K112" t="s">
        <v>138</v>
      </c>
      <c r="L112" t="s">
        <v>343</v>
      </c>
      <c r="M112" t="s">
        <v>19</v>
      </c>
    </row>
    <row r="113" spans="1:13" x14ac:dyDescent="0.35">
      <c r="A113" t="s">
        <v>344</v>
      </c>
      <c r="B113" t="s">
        <v>101</v>
      </c>
      <c r="C113" s="2">
        <v>45556</v>
      </c>
      <c r="D113" s="2">
        <v>45556</v>
      </c>
      <c r="E113">
        <v>31242.07</v>
      </c>
      <c r="F113">
        <v>0</v>
      </c>
      <c r="G113">
        <v>31242.07</v>
      </c>
      <c r="H113" t="s">
        <v>230</v>
      </c>
      <c r="I113">
        <v>116</v>
      </c>
      <c r="J113" t="s">
        <v>146</v>
      </c>
      <c r="K113" t="s">
        <v>163</v>
      </c>
      <c r="L113" t="s">
        <v>208</v>
      </c>
      <c r="M113" t="s">
        <v>25</v>
      </c>
    </row>
    <row r="114" spans="1:13" x14ac:dyDescent="0.35">
      <c r="A114" t="s">
        <v>345</v>
      </c>
      <c r="B114" t="s">
        <v>101</v>
      </c>
      <c r="C114" s="2">
        <v>45671</v>
      </c>
      <c r="D114" s="2">
        <v>45671</v>
      </c>
      <c r="E114">
        <v>45450.879999999997</v>
      </c>
      <c r="F114">
        <v>13073.11</v>
      </c>
      <c r="G114">
        <v>32377.77</v>
      </c>
      <c r="H114" t="s">
        <v>132</v>
      </c>
      <c r="I114">
        <v>1</v>
      </c>
      <c r="J114" t="s">
        <v>133</v>
      </c>
      <c r="K114" t="s">
        <v>158</v>
      </c>
      <c r="L114" t="s">
        <v>346</v>
      </c>
      <c r="M114" t="s">
        <v>25</v>
      </c>
    </row>
    <row r="115" spans="1:13" x14ac:dyDescent="0.35">
      <c r="A115" t="s">
        <v>347</v>
      </c>
      <c r="B115" t="s">
        <v>101</v>
      </c>
      <c r="C115" s="2">
        <v>45597</v>
      </c>
      <c r="D115" s="2">
        <v>45597</v>
      </c>
      <c r="E115">
        <v>18461.939999999999</v>
      </c>
      <c r="F115">
        <v>12744.53</v>
      </c>
      <c r="G115">
        <v>5717.409999999998</v>
      </c>
      <c r="H115" t="s">
        <v>137</v>
      </c>
      <c r="I115">
        <v>75</v>
      </c>
      <c r="J115" t="s">
        <v>133</v>
      </c>
      <c r="K115" t="s">
        <v>163</v>
      </c>
      <c r="M115" t="s">
        <v>25</v>
      </c>
    </row>
    <row r="116" spans="1:13" x14ac:dyDescent="0.35">
      <c r="A116" t="s">
        <v>348</v>
      </c>
      <c r="B116" t="s">
        <v>101</v>
      </c>
      <c r="C116" s="2">
        <v>45623</v>
      </c>
      <c r="D116" s="2">
        <v>45623</v>
      </c>
      <c r="E116">
        <v>43400.1</v>
      </c>
      <c r="F116">
        <v>0</v>
      </c>
      <c r="G116">
        <v>43400.1</v>
      </c>
      <c r="H116" t="s">
        <v>168</v>
      </c>
      <c r="I116">
        <v>49</v>
      </c>
      <c r="J116" t="s">
        <v>146</v>
      </c>
      <c r="K116" t="s">
        <v>138</v>
      </c>
      <c r="L116" t="s">
        <v>349</v>
      </c>
      <c r="M116" t="s">
        <v>25</v>
      </c>
    </row>
    <row r="117" spans="1:13" x14ac:dyDescent="0.35">
      <c r="A117" t="s">
        <v>350</v>
      </c>
      <c r="B117" t="s">
        <v>101</v>
      </c>
      <c r="C117" s="2">
        <v>45635</v>
      </c>
      <c r="D117" s="2">
        <v>45635</v>
      </c>
      <c r="E117">
        <v>49671.14</v>
      </c>
      <c r="F117">
        <v>0</v>
      </c>
      <c r="G117">
        <v>49671.14</v>
      </c>
      <c r="H117" t="s">
        <v>168</v>
      </c>
      <c r="I117">
        <v>37</v>
      </c>
      <c r="J117" t="s">
        <v>146</v>
      </c>
      <c r="K117" t="s">
        <v>138</v>
      </c>
      <c r="L117" t="s">
        <v>351</v>
      </c>
      <c r="M117" t="s">
        <v>25</v>
      </c>
    </row>
    <row r="118" spans="1:13" x14ac:dyDescent="0.35">
      <c r="A118" t="s">
        <v>352</v>
      </c>
      <c r="B118" t="s">
        <v>101</v>
      </c>
      <c r="C118" s="2">
        <v>45562</v>
      </c>
      <c r="D118" s="2">
        <v>45562</v>
      </c>
      <c r="E118">
        <v>35860.980000000003</v>
      </c>
      <c r="F118">
        <v>1758.77</v>
      </c>
      <c r="G118">
        <v>34102.210000000006</v>
      </c>
      <c r="H118" t="s">
        <v>230</v>
      </c>
      <c r="I118">
        <v>110</v>
      </c>
      <c r="J118" t="s">
        <v>133</v>
      </c>
      <c r="K118" t="s">
        <v>134</v>
      </c>
      <c r="L118" t="s">
        <v>210</v>
      </c>
      <c r="M118" t="s">
        <v>25</v>
      </c>
    </row>
    <row r="119" spans="1:13" x14ac:dyDescent="0.35">
      <c r="A119" t="s">
        <v>353</v>
      </c>
      <c r="B119" t="s">
        <v>105</v>
      </c>
      <c r="C119" s="2">
        <v>45573</v>
      </c>
      <c r="D119" s="2">
        <v>45573</v>
      </c>
      <c r="E119">
        <v>40948.71</v>
      </c>
      <c r="F119">
        <v>14427.09</v>
      </c>
      <c r="G119">
        <v>26521.62</v>
      </c>
      <c r="H119" t="s">
        <v>230</v>
      </c>
      <c r="I119">
        <v>99</v>
      </c>
      <c r="J119" t="s">
        <v>133</v>
      </c>
      <c r="K119" t="s">
        <v>163</v>
      </c>
      <c r="L119" t="s">
        <v>354</v>
      </c>
      <c r="M119" t="s">
        <v>25</v>
      </c>
    </row>
    <row r="120" spans="1:13" x14ac:dyDescent="0.35">
      <c r="A120" t="s">
        <v>355</v>
      </c>
      <c r="B120" t="s">
        <v>105</v>
      </c>
      <c r="C120" s="2">
        <v>45574</v>
      </c>
      <c r="D120" s="2">
        <v>45574</v>
      </c>
      <c r="E120">
        <v>34663.17</v>
      </c>
      <c r="F120">
        <v>34663.17</v>
      </c>
      <c r="G120">
        <v>0</v>
      </c>
      <c r="H120" t="s">
        <v>230</v>
      </c>
      <c r="I120">
        <v>98</v>
      </c>
      <c r="J120" t="s">
        <v>140</v>
      </c>
      <c r="K120" t="s">
        <v>141</v>
      </c>
      <c r="L120" t="s">
        <v>356</v>
      </c>
      <c r="M120" t="s">
        <v>25</v>
      </c>
    </row>
    <row r="121" spans="1:13" x14ac:dyDescent="0.35">
      <c r="A121" t="s">
        <v>357</v>
      </c>
      <c r="B121" t="s">
        <v>105</v>
      </c>
      <c r="C121" s="2">
        <v>45668</v>
      </c>
      <c r="D121" s="2">
        <v>45668</v>
      </c>
      <c r="E121">
        <v>31080.82</v>
      </c>
      <c r="F121">
        <v>2801.42</v>
      </c>
      <c r="G121">
        <v>28279.4</v>
      </c>
      <c r="H121" t="s">
        <v>132</v>
      </c>
      <c r="I121">
        <v>4</v>
      </c>
      <c r="J121" t="s">
        <v>133</v>
      </c>
      <c r="K121" t="s">
        <v>138</v>
      </c>
      <c r="M121" t="s">
        <v>25</v>
      </c>
    </row>
    <row r="122" spans="1:13" x14ac:dyDescent="0.35">
      <c r="A122" t="s">
        <v>358</v>
      </c>
      <c r="B122" t="s">
        <v>105</v>
      </c>
      <c r="C122" s="2">
        <v>45656</v>
      </c>
      <c r="D122" s="2">
        <v>45656</v>
      </c>
      <c r="E122">
        <v>40393.08</v>
      </c>
      <c r="F122">
        <v>14778.11</v>
      </c>
      <c r="G122">
        <v>25614.97</v>
      </c>
      <c r="H122" t="s">
        <v>132</v>
      </c>
      <c r="I122">
        <v>16</v>
      </c>
      <c r="J122" t="s">
        <v>133</v>
      </c>
      <c r="K122" t="s">
        <v>163</v>
      </c>
      <c r="L122" t="s">
        <v>359</v>
      </c>
      <c r="M122" t="s">
        <v>25</v>
      </c>
    </row>
    <row r="123" spans="1:13" x14ac:dyDescent="0.35">
      <c r="A123" t="s">
        <v>360</v>
      </c>
      <c r="B123" t="s">
        <v>105</v>
      </c>
      <c r="C123" s="2">
        <v>45556</v>
      </c>
      <c r="D123" s="2">
        <v>45556</v>
      </c>
      <c r="E123">
        <v>42111.040000000001</v>
      </c>
      <c r="F123">
        <v>33962.07</v>
      </c>
      <c r="G123">
        <v>8148.9700000000012</v>
      </c>
      <c r="H123" t="s">
        <v>230</v>
      </c>
      <c r="I123">
        <v>116</v>
      </c>
      <c r="J123" t="s">
        <v>133</v>
      </c>
      <c r="K123" t="s">
        <v>170</v>
      </c>
      <c r="L123" t="s">
        <v>361</v>
      </c>
      <c r="M123" t="s">
        <v>25</v>
      </c>
    </row>
    <row r="124" spans="1:13" x14ac:dyDescent="0.35">
      <c r="A124" t="s">
        <v>362</v>
      </c>
      <c r="B124" t="s">
        <v>109</v>
      </c>
      <c r="C124" s="2">
        <v>45654</v>
      </c>
      <c r="D124" s="2">
        <v>45654</v>
      </c>
      <c r="E124">
        <v>38936.82</v>
      </c>
      <c r="F124">
        <v>0</v>
      </c>
      <c r="G124">
        <v>38936.82</v>
      </c>
      <c r="H124" t="s">
        <v>132</v>
      </c>
      <c r="I124">
        <v>18</v>
      </c>
      <c r="J124" t="s">
        <v>146</v>
      </c>
      <c r="K124" t="s">
        <v>138</v>
      </c>
      <c r="L124" t="s">
        <v>363</v>
      </c>
      <c r="M124" t="s">
        <v>25</v>
      </c>
    </row>
    <row r="125" spans="1:13" x14ac:dyDescent="0.35">
      <c r="A125" t="s">
        <v>364</v>
      </c>
      <c r="B125" t="s">
        <v>109</v>
      </c>
      <c r="C125" s="2">
        <v>45601</v>
      </c>
      <c r="D125" s="2">
        <v>45601</v>
      </c>
      <c r="E125">
        <v>21459.88</v>
      </c>
      <c r="F125">
        <v>298.69</v>
      </c>
      <c r="G125">
        <v>21161.19</v>
      </c>
      <c r="H125" t="s">
        <v>137</v>
      </c>
      <c r="I125">
        <v>71</v>
      </c>
      <c r="J125" t="s">
        <v>133</v>
      </c>
      <c r="K125" t="s">
        <v>134</v>
      </c>
      <c r="L125" t="s">
        <v>365</v>
      </c>
      <c r="M125" t="s">
        <v>25</v>
      </c>
    </row>
    <row r="126" spans="1:13" x14ac:dyDescent="0.35">
      <c r="A126" t="s">
        <v>366</v>
      </c>
      <c r="B126" t="s">
        <v>109</v>
      </c>
      <c r="C126" s="2">
        <v>45586</v>
      </c>
      <c r="D126" s="2">
        <v>45586</v>
      </c>
      <c r="E126">
        <v>16797.259999999998</v>
      </c>
      <c r="F126">
        <v>10725.88</v>
      </c>
      <c r="G126">
        <v>6071.3799999999992</v>
      </c>
      <c r="H126" t="s">
        <v>137</v>
      </c>
      <c r="I126">
        <v>86</v>
      </c>
      <c r="J126" t="s">
        <v>133</v>
      </c>
      <c r="K126" t="s">
        <v>144</v>
      </c>
      <c r="L126" t="s">
        <v>367</v>
      </c>
      <c r="M126" t="s">
        <v>25</v>
      </c>
    </row>
    <row r="127" spans="1:13" x14ac:dyDescent="0.35">
      <c r="A127" t="s">
        <v>368</v>
      </c>
      <c r="B127" t="s">
        <v>111</v>
      </c>
      <c r="C127" s="2">
        <v>45631</v>
      </c>
      <c r="D127" s="2">
        <v>45661</v>
      </c>
      <c r="E127">
        <v>46186.52</v>
      </c>
      <c r="F127">
        <v>0</v>
      </c>
      <c r="G127">
        <v>46186.52</v>
      </c>
      <c r="H127" t="s">
        <v>132</v>
      </c>
      <c r="I127">
        <v>11</v>
      </c>
      <c r="J127" t="s">
        <v>146</v>
      </c>
      <c r="K127" t="s">
        <v>158</v>
      </c>
      <c r="L127" t="s">
        <v>369</v>
      </c>
      <c r="M127" t="s">
        <v>19</v>
      </c>
    </row>
    <row r="128" spans="1:13" x14ac:dyDescent="0.35">
      <c r="A128" t="s">
        <v>370</v>
      </c>
      <c r="B128" t="s">
        <v>111</v>
      </c>
      <c r="C128" s="2">
        <v>45556</v>
      </c>
      <c r="D128" s="2">
        <v>45586</v>
      </c>
      <c r="E128">
        <v>36548.47</v>
      </c>
      <c r="F128">
        <v>4264.33</v>
      </c>
      <c r="G128">
        <v>32284.14</v>
      </c>
      <c r="H128" t="s">
        <v>137</v>
      </c>
      <c r="I128">
        <v>86</v>
      </c>
      <c r="J128" t="s">
        <v>133</v>
      </c>
      <c r="K128" t="s">
        <v>141</v>
      </c>
      <c r="L128" t="s">
        <v>371</v>
      </c>
      <c r="M128" t="s">
        <v>19</v>
      </c>
    </row>
    <row r="129" spans="1:13" x14ac:dyDescent="0.35">
      <c r="A129" t="s">
        <v>372</v>
      </c>
      <c r="B129" t="s">
        <v>111</v>
      </c>
      <c r="C129" s="2">
        <v>45658</v>
      </c>
      <c r="D129" s="2">
        <v>45688</v>
      </c>
      <c r="E129">
        <v>9373.64</v>
      </c>
      <c r="F129">
        <v>1271.67</v>
      </c>
      <c r="G129">
        <v>8101.9699999999993</v>
      </c>
      <c r="H129" t="s">
        <v>132</v>
      </c>
      <c r="I129">
        <v>0</v>
      </c>
      <c r="J129" t="s">
        <v>133</v>
      </c>
      <c r="K129" t="s">
        <v>138</v>
      </c>
      <c r="L129" t="s">
        <v>373</v>
      </c>
      <c r="M129" t="s">
        <v>19</v>
      </c>
    </row>
    <row r="130" spans="1:13" x14ac:dyDescent="0.35">
      <c r="A130" t="s">
        <v>374</v>
      </c>
      <c r="B130" t="s">
        <v>111</v>
      </c>
      <c r="C130" s="2">
        <v>45653</v>
      </c>
      <c r="D130" s="2">
        <v>45683</v>
      </c>
      <c r="E130">
        <v>44843.62</v>
      </c>
      <c r="F130">
        <v>37385.82</v>
      </c>
      <c r="G130">
        <v>7457.8000000000029</v>
      </c>
      <c r="H130" t="s">
        <v>132</v>
      </c>
      <c r="I130">
        <v>0</v>
      </c>
      <c r="J130" t="s">
        <v>133</v>
      </c>
      <c r="K130" t="s">
        <v>163</v>
      </c>
      <c r="M130" t="s">
        <v>19</v>
      </c>
    </row>
    <row r="131" spans="1:13" x14ac:dyDescent="0.35">
      <c r="A131" t="s">
        <v>375</v>
      </c>
      <c r="B131" t="s">
        <v>111</v>
      </c>
      <c r="C131" s="2">
        <v>45625</v>
      </c>
      <c r="D131" s="2">
        <v>45655</v>
      </c>
      <c r="E131">
        <v>14777.14</v>
      </c>
      <c r="F131">
        <v>3489.07</v>
      </c>
      <c r="G131">
        <v>11288.07</v>
      </c>
      <c r="H131" t="s">
        <v>132</v>
      </c>
      <c r="I131">
        <v>17</v>
      </c>
      <c r="J131" t="s">
        <v>133</v>
      </c>
      <c r="K131" t="s">
        <v>170</v>
      </c>
      <c r="L131" t="s">
        <v>376</v>
      </c>
      <c r="M131" t="s">
        <v>19</v>
      </c>
    </row>
    <row r="132" spans="1:13" x14ac:dyDescent="0.35">
      <c r="A132" t="s">
        <v>377</v>
      </c>
      <c r="B132" t="s">
        <v>111</v>
      </c>
      <c r="C132" s="2">
        <v>45627</v>
      </c>
      <c r="D132" s="2">
        <v>45657</v>
      </c>
      <c r="E132">
        <v>7724.75</v>
      </c>
      <c r="F132">
        <v>0</v>
      </c>
      <c r="G132">
        <v>7724.75</v>
      </c>
      <c r="H132" t="s">
        <v>132</v>
      </c>
      <c r="I132">
        <v>15</v>
      </c>
      <c r="J132" t="s">
        <v>146</v>
      </c>
      <c r="K132" t="s">
        <v>158</v>
      </c>
      <c r="L132" t="s">
        <v>378</v>
      </c>
      <c r="M132" t="s">
        <v>19</v>
      </c>
    </row>
    <row r="133" spans="1:13" x14ac:dyDescent="0.35">
      <c r="A133" t="s">
        <v>379</v>
      </c>
      <c r="B133" t="s">
        <v>111</v>
      </c>
      <c r="C133" s="2">
        <v>45614</v>
      </c>
      <c r="D133" s="2">
        <v>45644</v>
      </c>
      <c r="E133">
        <v>9125.2999999999993</v>
      </c>
      <c r="F133">
        <v>0</v>
      </c>
      <c r="G133">
        <v>9125.2999999999993</v>
      </c>
      <c r="H133" t="s">
        <v>132</v>
      </c>
      <c r="I133">
        <v>28</v>
      </c>
      <c r="J133" t="s">
        <v>146</v>
      </c>
      <c r="K133" t="s">
        <v>141</v>
      </c>
      <c r="M133" t="s">
        <v>19</v>
      </c>
    </row>
    <row r="134" spans="1:13" x14ac:dyDescent="0.35">
      <c r="A134" t="s">
        <v>380</v>
      </c>
      <c r="B134" t="s">
        <v>116</v>
      </c>
      <c r="C134" s="2">
        <v>45641</v>
      </c>
      <c r="D134" s="2">
        <v>45671</v>
      </c>
      <c r="E134">
        <v>49496.94</v>
      </c>
      <c r="F134">
        <v>49496.94</v>
      </c>
      <c r="G134">
        <v>0</v>
      </c>
      <c r="H134" t="s">
        <v>132</v>
      </c>
      <c r="I134">
        <v>1</v>
      </c>
      <c r="J134" t="s">
        <v>140</v>
      </c>
      <c r="K134" t="s">
        <v>144</v>
      </c>
      <c r="L134" t="s">
        <v>381</v>
      </c>
      <c r="M134" t="s">
        <v>19</v>
      </c>
    </row>
    <row r="135" spans="1:13" x14ac:dyDescent="0.35">
      <c r="A135" t="s">
        <v>382</v>
      </c>
      <c r="B135" t="s">
        <v>116</v>
      </c>
      <c r="C135" s="2">
        <v>45561</v>
      </c>
      <c r="D135" s="2">
        <v>45591</v>
      </c>
      <c r="E135">
        <v>15484.94</v>
      </c>
      <c r="F135">
        <v>12212.1</v>
      </c>
      <c r="G135">
        <v>3272.84</v>
      </c>
      <c r="H135" t="s">
        <v>137</v>
      </c>
      <c r="I135">
        <v>81</v>
      </c>
      <c r="J135" t="s">
        <v>133</v>
      </c>
      <c r="K135" t="s">
        <v>163</v>
      </c>
      <c r="L135" t="s">
        <v>383</v>
      </c>
      <c r="M135" t="s">
        <v>19</v>
      </c>
    </row>
    <row r="136" spans="1:13" x14ac:dyDescent="0.35">
      <c r="A136" t="s">
        <v>384</v>
      </c>
      <c r="B136" t="s">
        <v>116</v>
      </c>
      <c r="C136" s="2">
        <v>45656</v>
      </c>
      <c r="D136" s="2">
        <v>45686</v>
      </c>
      <c r="E136">
        <v>29309.7</v>
      </c>
      <c r="F136">
        <v>29309.7</v>
      </c>
      <c r="G136">
        <v>0</v>
      </c>
      <c r="H136" t="s">
        <v>132</v>
      </c>
      <c r="I136">
        <v>0</v>
      </c>
      <c r="J136" t="s">
        <v>140</v>
      </c>
      <c r="K136" t="s">
        <v>190</v>
      </c>
      <c r="M136" t="s">
        <v>19</v>
      </c>
    </row>
    <row r="137" spans="1:13" x14ac:dyDescent="0.35">
      <c r="A137" t="s">
        <v>385</v>
      </c>
      <c r="B137" t="s">
        <v>116</v>
      </c>
      <c r="C137" s="2">
        <v>45571</v>
      </c>
      <c r="D137" s="2">
        <v>45601</v>
      </c>
      <c r="E137">
        <v>40479.42</v>
      </c>
      <c r="F137">
        <v>638.80999999999995</v>
      </c>
      <c r="G137">
        <v>39840.61</v>
      </c>
      <c r="H137" t="s">
        <v>137</v>
      </c>
      <c r="I137">
        <v>71</v>
      </c>
      <c r="J137" t="s">
        <v>133</v>
      </c>
      <c r="K137" t="s">
        <v>190</v>
      </c>
      <c r="L137" t="s">
        <v>386</v>
      </c>
      <c r="M137" t="s">
        <v>19</v>
      </c>
    </row>
    <row r="138" spans="1:13" x14ac:dyDescent="0.35">
      <c r="A138" t="s">
        <v>387</v>
      </c>
      <c r="B138" t="s">
        <v>116</v>
      </c>
      <c r="C138" s="2">
        <v>45658</v>
      </c>
      <c r="D138" s="2">
        <v>45688</v>
      </c>
      <c r="E138">
        <v>38554.94</v>
      </c>
      <c r="F138">
        <v>29996.400000000001</v>
      </c>
      <c r="G138">
        <v>8558.5400000000009</v>
      </c>
      <c r="H138" t="s">
        <v>132</v>
      </c>
      <c r="I138">
        <v>0</v>
      </c>
      <c r="J138" t="s">
        <v>133</v>
      </c>
      <c r="K138" t="s">
        <v>158</v>
      </c>
      <c r="L138" t="s">
        <v>388</v>
      </c>
      <c r="M138" t="s">
        <v>19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389</v>
      </c>
      <c r="E1" s="1" t="s">
        <v>168</v>
      </c>
      <c r="F1" s="1" t="s">
        <v>137</v>
      </c>
      <c r="G1" s="1" t="s">
        <v>230</v>
      </c>
      <c r="H1" s="1" t="s">
        <v>132</v>
      </c>
    </row>
    <row r="2" spans="1:8" x14ac:dyDescent="0.35">
      <c r="A2" t="s">
        <v>8</v>
      </c>
      <c r="B2" t="s">
        <v>9</v>
      </c>
      <c r="C2" t="s">
        <v>10</v>
      </c>
      <c r="D2">
        <v>68879.760000000009</v>
      </c>
      <c r="E2">
        <v>0</v>
      </c>
      <c r="F2">
        <v>24836.21</v>
      </c>
      <c r="G2">
        <v>0</v>
      </c>
      <c r="H2">
        <v>44043.55</v>
      </c>
    </row>
    <row r="3" spans="1:8" x14ac:dyDescent="0.35">
      <c r="A3" t="s">
        <v>14</v>
      </c>
      <c r="B3" t="s">
        <v>15</v>
      </c>
      <c r="C3" t="s">
        <v>16</v>
      </c>
      <c r="D3">
        <v>164893.85</v>
      </c>
      <c r="E3">
        <v>0</v>
      </c>
      <c r="F3">
        <v>43191.31</v>
      </c>
      <c r="G3">
        <v>0</v>
      </c>
      <c r="H3">
        <v>121702.54</v>
      </c>
    </row>
    <row r="4" spans="1:8" x14ac:dyDescent="0.35">
      <c r="A4" t="s">
        <v>20</v>
      </c>
      <c r="B4" t="s">
        <v>21</v>
      </c>
      <c r="C4" t="s">
        <v>22</v>
      </c>
      <c r="D4">
        <v>16182.13</v>
      </c>
      <c r="E4">
        <v>0</v>
      </c>
      <c r="F4">
        <v>16182.13</v>
      </c>
      <c r="G4">
        <v>0</v>
      </c>
      <c r="H4">
        <v>0</v>
      </c>
    </row>
    <row r="5" spans="1:8" x14ac:dyDescent="0.35">
      <c r="A5" t="s">
        <v>26</v>
      </c>
      <c r="B5" t="s">
        <v>27</v>
      </c>
      <c r="C5" t="s">
        <v>28</v>
      </c>
      <c r="D5">
        <v>113454.22</v>
      </c>
      <c r="E5">
        <v>47108.04</v>
      </c>
      <c r="F5">
        <v>0</v>
      </c>
      <c r="G5">
        <v>0</v>
      </c>
      <c r="H5">
        <v>66346.180000000008</v>
      </c>
    </row>
    <row r="6" spans="1:8" x14ac:dyDescent="0.35">
      <c r="A6" t="s">
        <v>32</v>
      </c>
      <c r="B6" t="s">
        <v>33</v>
      </c>
      <c r="C6" t="s">
        <v>34</v>
      </c>
      <c r="D6">
        <v>112527.91</v>
      </c>
      <c r="E6">
        <v>33540.71</v>
      </c>
      <c r="F6">
        <v>37339.24</v>
      </c>
      <c r="G6">
        <v>0</v>
      </c>
      <c r="H6">
        <v>41647.960000000006</v>
      </c>
    </row>
    <row r="7" spans="1:8" x14ac:dyDescent="0.35">
      <c r="A7" t="s">
        <v>37</v>
      </c>
      <c r="B7" t="s">
        <v>38</v>
      </c>
      <c r="C7" t="s">
        <v>39</v>
      </c>
      <c r="D7">
        <v>167978.94</v>
      </c>
      <c r="E7">
        <v>0</v>
      </c>
      <c r="F7">
        <v>98974.81</v>
      </c>
      <c r="G7">
        <v>0</v>
      </c>
      <c r="H7">
        <v>69004.13</v>
      </c>
    </row>
    <row r="8" spans="1:8" x14ac:dyDescent="0.35">
      <c r="A8" t="s">
        <v>42</v>
      </c>
      <c r="B8" t="s">
        <v>43</v>
      </c>
      <c r="C8" t="s">
        <v>44</v>
      </c>
      <c r="D8">
        <v>65520.94</v>
      </c>
      <c r="E8">
        <v>16852.91</v>
      </c>
      <c r="F8">
        <v>48668.03</v>
      </c>
      <c r="G8">
        <v>0</v>
      </c>
      <c r="H8">
        <v>0</v>
      </c>
    </row>
    <row r="9" spans="1:8" x14ac:dyDescent="0.35">
      <c r="A9" t="s">
        <v>47</v>
      </c>
      <c r="B9" t="s">
        <v>48</v>
      </c>
      <c r="C9" t="s">
        <v>49</v>
      </c>
      <c r="D9">
        <v>39180.5</v>
      </c>
      <c r="E9">
        <v>15630.5</v>
      </c>
      <c r="F9">
        <v>0</v>
      </c>
      <c r="G9">
        <v>0</v>
      </c>
      <c r="H9">
        <v>23550</v>
      </c>
    </row>
    <row r="10" spans="1:8" x14ac:dyDescent="0.35">
      <c r="A10" t="s">
        <v>52</v>
      </c>
      <c r="B10" t="s">
        <v>53</v>
      </c>
      <c r="C10" t="s">
        <v>54</v>
      </c>
      <c r="D10">
        <v>161469.26</v>
      </c>
      <c r="E10">
        <v>62462.35</v>
      </c>
      <c r="F10">
        <v>30312.46</v>
      </c>
      <c r="G10">
        <v>0</v>
      </c>
      <c r="H10">
        <v>68694.45</v>
      </c>
    </row>
    <row r="11" spans="1:8" x14ac:dyDescent="0.35">
      <c r="A11" t="s">
        <v>57</v>
      </c>
      <c r="B11" t="s">
        <v>58</v>
      </c>
      <c r="C11" t="s">
        <v>59</v>
      </c>
      <c r="D11">
        <v>166570.6</v>
      </c>
      <c r="E11">
        <v>73785.8</v>
      </c>
      <c r="F11">
        <v>25569.3</v>
      </c>
      <c r="G11">
        <v>30426.639999999999</v>
      </c>
      <c r="H11">
        <v>36788.86</v>
      </c>
    </row>
    <row r="12" spans="1:8" x14ac:dyDescent="0.35">
      <c r="A12" t="s">
        <v>62</v>
      </c>
      <c r="B12" t="s">
        <v>33</v>
      </c>
      <c r="C12" t="s">
        <v>63</v>
      </c>
      <c r="D12">
        <v>74461.67</v>
      </c>
      <c r="E12">
        <v>18036.259999999998</v>
      </c>
      <c r="F12">
        <v>0</v>
      </c>
      <c r="G12">
        <v>0</v>
      </c>
      <c r="H12">
        <v>56425.41</v>
      </c>
    </row>
    <row r="13" spans="1:8" x14ac:dyDescent="0.35">
      <c r="A13" t="s">
        <v>66</v>
      </c>
      <c r="B13" t="s">
        <v>67</v>
      </c>
      <c r="C13" t="s">
        <v>68</v>
      </c>
      <c r="D13">
        <v>138706.48000000001</v>
      </c>
      <c r="E13">
        <v>8262.3800000000047</v>
      </c>
      <c r="F13">
        <v>92691.53</v>
      </c>
      <c r="G13">
        <v>2270.91</v>
      </c>
      <c r="H13">
        <v>35481.659999999989</v>
      </c>
    </row>
    <row r="14" spans="1:8" x14ac:dyDescent="0.35">
      <c r="A14" t="s">
        <v>71</v>
      </c>
      <c r="B14" t="s">
        <v>43</v>
      </c>
      <c r="C14" t="s">
        <v>72</v>
      </c>
      <c r="D14">
        <v>101074.02</v>
      </c>
      <c r="E14">
        <v>7922.0499999999993</v>
      </c>
      <c r="F14">
        <v>0</v>
      </c>
      <c r="G14">
        <v>0</v>
      </c>
      <c r="H14">
        <v>93151.97</v>
      </c>
    </row>
    <row r="15" spans="1:8" x14ac:dyDescent="0.35">
      <c r="A15" t="s">
        <v>75</v>
      </c>
      <c r="B15" t="s">
        <v>76</v>
      </c>
      <c r="C15" t="s">
        <v>77</v>
      </c>
      <c r="D15">
        <v>133525.34</v>
      </c>
      <c r="E15">
        <v>52696.95</v>
      </c>
      <c r="F15">
        <v>43967.56</v>
      </c>
      <c r="G15">
        <v>0</v>
      </c>
      <c r="H15">
        <v>36860.83</v>
      </c>
    </row>
    <row r="16" spans="1:8" x14ac:dyDescent="0.35">
      <c r="A16" t="s">
        <v>80</v>
      </c>
      <c r="B16" t="s">
        <v>81</v>
      </c>
      <c r="C16" t="s">
        <v>82</v>
      </c>
      <c r="D16">
        <v>39068.550000000003</v>
      </c>
      <c r="E16">
        <v>0</v>
      </c>
      <c r="F16">
        <v>184.44999999999709</v>
      </c>
      <c r="G16">
        <v>0</v>
      </c>
      <c r="H16">
        <v>38884.1</v>
      </c>
    </row>
    <row r="17" spans="1:8" x14ac:dyDescent="0.35">
      <c r="A17" t="s">
        <v>85</v>
      </c>
      <c r="B17" t="s">
        <v>43</v>
      </c>
      <c r="C17" t="s">
        <v>77</v>
      </c>
      <c r="D17">
        <v>91644.12</v>
      </c>
      <c r="E17">
        <v>44659.199999999997</v>
      </c>
      <c r="F17">
        <v>0</v>
      </c>
      <c r="G17">
        <v>0</v>
      </c>
      <c r="H17">
        <v>46984.92</v>
      </c>
    </row>
    <row r="18" spans="1:8" x14ac:dyDescent="0.35">
      <c r="A18" t="s">
        <v>87</v>
      </c>
      <c r="B18" t="s">
        <v>48</v>
      </c>
      <c r="C18" t="s">
        <v>44</v>
      </c>
      <c r="D18">
        <v>66264.989999999991</v>
      </c>
      <c r="E18">
        <v>35242.92</v>
      </c>
      <c r="F18">
        <v>6081.3399999999983</v>
      </c>
      <c r="G18">
        <v>7186.08</v>
      </c>
      <c r="H18">
        <v>17754.650000000001</v>
      </c>
    </row>
    <row r="19" spans="1:8" x14ac:dyDescent="0.35">
      <c r="A19" t="s">
        <v>89</v>
      </c>
      <c r="B19" t="s">
        <v>90</v>
      </c>
      <c r="C19" t="s">
        <v>91</v>
      </c>
      <c r="D19">
        <v>126324.38</v>
      </c>
      <c r="E19">
        <v>12029.18</v>
      </c>
      <c r="F19">
        <v>75095.63</v>
      </c>
      <c r="G19">
        <v>0</v>
      </c>
      <c r="H19">
        <v>39199.57</v>
      </c>
    </row>
    <row r="20" spans="1:8" x14ac:dyDescent="0.35">
      <c r="A20" t="s">
        <v>94</v>
      </c>
      <c r="B20" t="s">
        <v>9</v>
      </c>
      <c r="C20" t="s">
        <v>95</v>
      </c>
      <c r="D20">
        <v>73707.679999999993</v>
      </c>
      <c r="E20">
        <v>6216.4599999999991</v>
      </c>
      <c r="F20">
        <v>50736.890000000007</v>
      </c>
      <c r="G20">
        <v>15081.98</v>
      </c>
      <c r="H20">
        <v>1672.349999999999</v>
      </c>
    </row>
    <row r="21" spans="1:8" x14ac:dyDescent="0.35">
      <c r="A21" t="s">
        <v>98</v>
      </c>
      <c r="B21" t="s">
        <v>99</v>
      </c>
      <c r="C21" t="s">
        <v>16</v>
      </c>
      <c r="D21">
        <v>35580.69</v>
      </c>
      <c r="E21">
        <v>0</v>
      </c>
      <c r="F21">
        <v>22931.43</v>
      </c>
      <c r="G21">
        <v>0</v>
      </c>
      <c r="H21">
        <v>12649.26</v>
      </c>
    </row>
    <row r="22" spans="1:8" x14ac:dyDescent="0.35">
      <c r="A22" t="s">
        <v>101</v>
      </c>
      <c r="B22" t="s">
        <v>38</v>
      </c>
      <c r="C22" t="s">
        <v>102</v>
      </c>
      <c r="D22">
        <v>196510.7</v>
      </c>
      <c r="E22">
        <v>93071.239999999991</v>
      </c>
      <c r="F22">
        <v>5717.409999999998</v>
      </c>
      <c r="G22">
        <v>65344.280000000013</v>
      </c>
      <c r="H22">
        <v>32377.77</v>
      </c>
    </row>
    <row r="23" spans="1:8" x14ac:dyDescent="0.35">
      <c r="A23" t="s">
        <v>105</v>
      </c>
      <c r="B23" t="s">
        <v>81</v>
      </c>
      <c r="C23" t="s">
        <v>106</v>
      </c>
      <c r="D23">
        <v>88564.959999999992</v>
      </c>
      <c r="E23">
        <v>0</v>
      </c>
      <c r="F23">
        <v>0</v>
      </c>
      <c r="G23">
        <v>34670.589999999997</v>
      </c>
      <c r="H23">
        <v>53894.37</v>
      </c>
    </row>
    <row r="24" spans="1:8" x14ac:dyDescent="0.35">
      <c r="A24" t="s">
        <v>109</v>
      </c>
      <c r="B24" t="s">
        <v>21</v>
      </c>
      <c r="C24" t="s">
        <v>63</v>
      </c>
      <c r="D24">
        <v>66169.39</v>
      </c>
      <c r="E24">
        <v>0</v>
      </c>
      <c r="F24">
        <v>27232.57</v>
      </c>
      <c r="G24">
        <v>0</v>
      </c>
      <c r="H24">
        <v>38936.82</v>
      </c>
    </row>
    <row r="25" spans="1:8" x14ac:dyDescent="0.35">
      <c r="A25" t="s">
        <v>111</v>
      </c>
      <c r="B25" t="s">
        <v>112</v>
      </c>
      <c r="C25" t="s">
        <v>113</v>
      </c>
      <c r="D25">
        <v>122168.55</v>
      </c>
      <c r="E25">
        <v>0</v>
      </c>
      <c r="F25">
        <v>32284.14</v>
      </c>
      <c r="G25">
        <v>0</v>
      </c>
      <c r="H25">
        <v>89884.41</v>
      </c>
    </row>
    <row r="26" spans="1:8" x14ac:dyDescent="0.35">
      <c r="A26" t="s">
        <v>116</v>
      </c>
      <c r="B26" t="s">
        <v>76</v>
      </c>
      <c r="C26" t="s">
        <v>117</v>
      </c>
      <c r="D26">
        <v>51671.99</v>
      </c>
      <c r="E26">
        <v>0</v>
      </c>
      <c r="F26">
        <v>43113.45</v>
      </c>
      <c r="G26">
        <v>0</v>
      </c>
      <c r="H26">
        <v>8558.5400000000009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"/>
  <sheetViews>
    <sheetView workbookViewId="0"/>
  </sheetViews>
  <sheetFormatPr defaultRowHeight="14.5" x14ac:dyDescent="0.35"/>
  <cols>
    <col min="5" max="5" width="8.81640625" customWidth="1"/>
  </cols>
  <sheetData>
    <row r="1" spans="1:11" x14ac:dyDescent="0.35">
      <c r="A1" s="1" t="s">
        <v>0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</row>
    <row r="2" spans="1:11" x14ac:dyDescent="0.35">
      <c r="A2" t="s">
        <v>8</v>
      </c>
      <c r="B2" s="2">
        <v>45672</v>
      </c>
      <c r="C2">
        <v>68879.760000000009</v>
      </c>
      <c r="D2">
        <v>44043.55</v>
      </c>
      <c r="E2">
        <v>0</v>
      </c>
      <c r="F2">
        <v>24836.21</v>
      </c>
      <c r="G2">
        <v>0</v>
      </c>
      <c r="H2" s="2">
        <v>45674</v>
      </c>
      <c r="I2">
        <v>34654.22</v>
      </c>
      <c r="J2" t="s">
        <v>400</v>
      </c>
      <c r="K2" t="s">
        <v>401</v>
      </c>
    </row>
    <row r="3" spans="1:11" x14ac:dyDescent="0.35">
      <c r="A3" t="s">
        <v>14</v>
      </c>
      <c r="B3" s="2">
        <v>45672</v>
      </c>
      <c r="C3">
        <v>164893.85</v>
      </c>
      <c r="D3">
        <v>121702.54</v>
      </c>
      <c r="E3">
        <v>0</v>
      </c>
      <c r="F3">
        <v>43191.31</v>
      </c>
      <c r="G3">
        <v>0</v>
      </c>
      <c r="H3" s="2">
        <v>45648</v>
      </c>
      <c r="I3">
        <v>40283.18</v>
      </c>
      <c r="J3" t="s">
        <v>400</v>
      </c>
      <c r="K3" t="s">
        <v>402</v>
      </c>
    </row>
    <row r="4" spans="1:11" x14ac:dyDescent="0.35">
      <c r="A4" t="s">
        <v>20</v>
      </c>
      <c r="B4" s="2">
        <v>45672</v>
      </c>
      <c r="C4">
        <v>16182.13</v>
      </c>
      <c r="D4">
        <v>0</v>
      </c>
      <c r="E4">
        <v>0</v>
      </c>
      <c r="F4">
        <v>16182.13</v>
      </c>
      <c r="G4">
        <v>0</v>
      </c>
      <c r="H4" s="2">
        <v>45620</v>
      </c>
      <c r="I4">
        <v>8058.24</v>
      </c>
      <c r="J4" t="s">
        <v>400</v>
      </c>
      <c r="K4" t="s">
        <v>403</v>
      </c>
    </row>
    <row r="5" spans="1:11" x14ac:dyDescent="0.35">
      <c r="A5" t="s">
        <v>26</v>
      </c>
      <c r="B5" s="2">
        <v>45672</v>
      </c>
      <c r="C5">
        <v>113454.22</v>
      </c>
      <c r="D5">
        <v>66346.180000000008</v>
      </c>
      <c r="E5">
        <v>47108.04</v>
      </c>
      <c r="F5">
        <v>0</v>
      </c>
      <c r="G5">
        <v>0</v>
      </c>
      <c r="H5" s="2">
        <v>45619</v>
      </c>
      <c r="I5">
        <v>28802.33</v>
      </c>
      <c r="J5" t="s">
        <v>400</v>
      </c>
      <c r="K5" t="s">
        <v>402</v>
      </c>
    </row>
    <row r="6" spans="1:11" x14ac:dyDescent="0.35">
      <c r="A6" t="s">
        <v>32</v>
      </c>
      <c r="B6" s="2">
        <v>45672</v>
      </c>
      <c r="C6">
        <v>112527.91</v>
      </c>
      <c r="D6">
        <v>41647.960000000006</v>
      </c>
      <c r="E6">
        <v>33540.71</v>
      </c>
      <c r="F6">
        <v>37339.24</v>
      </c>
      <c r="G6">
        <v>0</v>
      </c>
      <c r="H6" s="2">
        <v>45679</v>
      </c>
      <c r="I6">
        <v>4329.6899999999996</v>
      </c>
      <c r="J6" t="s">
        <v>400</v>
      </c>
      <c r="K6" t="s">
        <v>402</v>
      </c>
    </row>
    <row r="7" spans="1:11" x14ac:dyDescent="0.35">
      <c r="A7" t="s">
        <v>37</v>
      </c>
      <c r="B7" s="2">
        <v>45672</v>
      </c>
      <c r="C7">
        <v>167978.94</v>
      </c>
      <c r="D7">
        <v>69004.13</v>
      </c>
      <c r="E7">
        <v>0</v>
      </c>
      <c r="F7">
        <v>98974.81</v>
      </c>
      <c r="G7">
        <v>0</v>
      </c>
      <c r="H7" s="2">
        <v>45604</v>
      </c>
      <c r="I7">
        <v>23286.98</v>
      </c>
      <c r="J7" t="s">
        <v>400</v>
      </c>
      <c r="K7" t="s">
        <v>402</v>
      </c>
    </row>
    <row r="8" spans="1:11" x14ac:dyDescent="0.35">
      <c r="A8" t="s">
        <v>42</v>
      </c>
      <c r="B8" s="2">
        <v>45672</v>
      </c>
      <c r="C8">
        <v>65520.94</v>
      </c>
      <c r="D8">
        <v>0</v>
      </c>
      <c r="E8">
        <v>16852.91</v>
      </c>
      <c r="F8">
        <v>48668.03</v>
      </c>
      <c r="G8">
        <v>0</v>
      </c>
      <c r="H8" s="2">
        <v>45623</v>
      </c>
      <c r="I8">
        <v>17560.62</v>
      </c>
      <c r="J8" t="s">
        <v>400</v>
      </c>
      <c r="K8" t="s">
        <v>401</v>
      </c>
    </row>
    <row r="9" spans="1:11" x14ac:dyDescent="0.35">
      <c r="A9" t="s">
        <v>47</v>
      </c>
      <c r="B9" s="2">
        <v>45672</v>
      </c>
      <c r="C9">
        <v>39180.5</v>
      </c>
      <c r="D9">
        <v>23550</v>
      </c>
      <c r="E9">
        <v>15630.5</v>
      </c>
      <c r="F9">
        <v>0</v>
      </c>
      <c r="G9">
        <v>0</v>
      </c>
      <c r="H9" s="2">
        <v>45689</v>
      </c>
      <c r="I9">
        <v>30804.19</v>
      </c>
      <c r="J9" t="s">
        <v>404</v>
      </c>
      <c r="K9" t="s">
        <v>401</v>
      </c>
    </row>
    <row r="10" spans="1:11" x14ac:dyDescent="0.35">
      <c r="A10" t="s">
        <v>52</v>
      </c>
      <c r="B10" s="2">
        <v>45672</v>
      </c>
      <c r="C10">
        <v>161469.26</v>
      </c>
      <c r="D10">
        <v>68694.45</v>
      </c>
      <c r="E10">
        <v>62462.35</v>
      </c>
      <c r="F10">
        <v>30312.46</v>
      </c>
      <c r="G10">
        <v>0</v>
      </c>
      <c r="H10" s="2">
        <v>45671</v>
      </c>
      <c r="I10">
        <v>44845.93</v>
      </c>
      <c r="J10" t="s">
        <v>400</v>
      </c>
      <c r="K10" t="s">
        <v>402</v>
      </c>
    </row>
    <row r="11" spans="1:11" x14ac:dyDescent="0.35">
      <c r="A11" t="s">
        <v>57</v>
      </c>
      <c r="B11" s="2">
        <v>45672</v>
      </c>
      <c r="C11">
        <v>166570.6</v>
      </c>
      <c r="D11">
        <v>36788.86</v>
      </c>
      <c r="E11">
        <v>73785.8</v>
      </c>
      <c r="F11">
        <v>25569.3</v>
      </c>
      <c r="G11">
        <v>30426.639999999999</v>
      </c>
      <c r="H11" s="2">
        <v>45640</v>
      </c>
      <c r="I11">
        <v>28343.200000000001</v>
      </c>
      <c r="J11" t="s">
        <v>400</v>
      </c>
      <c r="K11" t="s">
        <v>402</v>
      </c>
    </row>
    <row r="12" spans="1:11" x14ac:dyDescent="0.35">
      <c r="A12" t="s">
        <v>62</v>
      </c>
      <c r="B12" s="2">
        <v>45672</v>
      </c>
      <c r="C12">
        <v>74461.669999999984</v>
      </c>
      <c r="D12">
        <v>56425.41</v>
      </c>
      <c r="E12">
        <v>18036.259999999998</v>
      </c>
      <c r="F12">
        <v>0</v>
      </c>
      <c r="G12">
        <v>0</v>
      </c>
      <c r="H12" s="2">
        <v>45709</v>
      </c>
      <c r="I12">
        <v>39255.339999999997</v>
      </c>
      <c r="J12" t="s">
        <v>400</v>
      </c>
      <c r="K12" t="s">
        <v>401</v>
      </c>
    </row>
    <row r="13" spans="1:11" x14ac:dyDescent="0.35">
      <c r="A13" t="s">
        <v>66</v>
      </c>
      <c r="B13" s="2">
        <v>45672</v>
      </c>
      <c r="C13">
        <v>138706.48000000001</v>
      </c>
      <c r="D13">
        <v>35481.659999999989</v>
      </c>
      <c r="E13">
        <v>8262.3800000000047</v>
      </c>
      <c r="F13">
        <v>92691.53</v>
      </c>
      <c r="G13">
        <v>2270.91</v>
      </c>
      <c r="H13" s="2">
        <v>45693</v>
      </c>
      <c r="I13">
        <v>42495.55</v>
      </c>
      <c r="J13" t="s">
        <v>400</v>
      </c>
      <c r="K13" t="s">
        <v>402</v>
      </c>
    </row>
    <row r="14" spans="1:11" x14ac:dyDescent="0.35">
      <c r="A14" t="s">
        <v>71</v>
      </c>
      <c r="B14" s="2">
        <v>45672</v>
      </c>
      <c r="C14">
        <v>101074.02</v>
      </c>
      <c r="D14">
        <v>93151.97</v>
      </c>
      <c r="E14">
        <v>7922.0499999999993</v>
      </c>
      <c r="F14">
        <v>0</v>
      </c>
      <c r="G14">
        <v>0</v>
      </c>
      <c r="H14" s="2">
        <v>45692</v>
      </c>
      <c r="I14">
        <v>25906.62</v>
      </c>
      <c r="J14" t="s">
        <v>400</v>
      </c>
      <c r="K14" t="s">
        <v>402</v>
      </c>
    </row>
    <row r="15" spans="1:11" x14ac:dyDescent="0.35">
      <c r="A15" t="s">
        <v>75</v>
      </c>
      <c r="B15" s="2">
        <v>45672</v>
      </c>
      <c r="C15">
        <v>133525.34</v>
      </c>
      <c r="D15">
        <v>36860.83</v>
      </c>
      <c r="E15">
        <v>52696.95</v>
      </c>
      <c r="F15">
        <v>43967.56</v>
      </c>
      <c r="G15">
        <v>0</v>
      </c>
      <c r="H15" s="2">
        <v>45623</v>
      </c>
      <c r="I15">
        <v>13261.93</v>
      </c>
      <c r="J15" t="s">
        <v>400</v>
      </c>
      <c r="K15" t="s">
        <v>402</v>
      </c>
    </row>
    <row r="16" spans="1:11" x14ac:dyDescent="0.35">
      <c r="A16" t="s">
        <v>80</v>
      </c>
      <c r="B16" s="2">
        <v>45672</v>
      </c>
      <c r="C16">
        <v>39068.550000000003</v>
      </c>
      <c r="D16">
        <v>38884.1</v>
      </c>
      <c r="E16">
        <v>0</v>
      </c>
      <c r="F16">
        <v>184.44999999999709</v>
      </c>
      <c r="G16">
        <v>0</v>
      </c>
      <c r="H16" s="2">
        <v>45687</v>
      </c>
      <c r="I16">
        <v>17795.27</v>
      </c>
      <c r="J16" t="s">
        <v>400</v>
      </c>
      <c r="K16" t="s">
        <v>401</v>
      </c>
    </row>
    <row r="17" spans="1:11" x14ac:dyDescent="0.35">
      <c r="A17" t="s">
        <v>85</v>
      </c>
      <c r="B17" s="2">
        <v>45672</v>
      </c>
      <c r="C17">
        <v>91644.12</v>
      </c>
      <c r="D17">
        <v>46984.92</v>
      </c>
      <c r="E17">
        <v>44659.199999999997</v>
      </c>
      <c r="F17">
        <v>0</v>
      </c>
      <c r="G17">
        <v>0</v>
      </c>
      <c r="H17" s="2">
        <v>45687</v>
      </c>
      <c r="I17">
        <v>30733.56</v>
      </c>
      <c r="J17" t="s">
        <v>400</v>
      </c>
      <c r="K17" t="s">
        <v>402</v>
      </c>
    </row>
    <row r="18" spans="1:11" x14ac:dyDescent="0.35">
      <c r="A18" t="s">
        <v>87</v>
      </c>
      <c r="B18" s="2">
        <v>45672</v>
      </c>
      <c r="C18">
        <v>66264.989999999991</v>
      </c>
      <c r="D18">
        <v>17754.650000000001</v>
      </c>
      <c r="E18">
        <v>35242.92</v>
      </c>
      <c r="F18">
        <v>6081.3399999999983</v>
      </c>
      <c r="G18">
        <v>7186.08</v>
      </c>
      <c r="H18" s="2">
        <v>45676</v>
      </c>
      <c r="I18">
        <v>48286</v>
      </c>
      <c r="J18" t="s">
        <v>400</v>
      </c>
      <c r="K18" t="s">
        <v>401</v>
      </c>
    </row>
    <row r="19" spans="1:11" x14ac:dyDescent="0.35">
      <c r="A19" t="s">
        <v>89</v>
      </c>
      <c r="B19" s="2">
        <v>45672</v>
      </c>
      <c r="C19">
        <v>126324.38</v>
      </c>
      <c r="D19">
        <v>39199.57</v>
      </c>
      <c r="E19">
        <v>12029.18</v>
      </c>
      <c r="F19">
        <v>75095.63</v>
      </c>
      <c r="G19">
        <v>0</v>
      </c>
      <c r="H19" s="2">
        <v>45637</v>
      </c>
      <c r="I19">
        <v>37884.03</v>
      </c>
      <c r="J19" t="s">
        <v>400</v>
      </c>
      <c r="K19" t="s">
        <v>402</v>
      </c>
    </row>
    <row r="20" spans="1:11" x14ac:dyDescent="0.35">
      <c r="A20" t="s">
        <v>94</v>
      </c>
      <c r="B20" s="2">
        <v>45672</v>
      </c>
      <c r="C20">
        <v>73707.679999999993</v>
      </c>
      <c r="D20">
        <v>1672.349999999999</v>
      </c>
      <c r="E20">
        <v>6216.4599999999991</v>
      </c>
      <c r="F20">
        <v>50736.890000000007</v>
      </c>
      <c r="G20">
        <v>15081.98</v>
      </c>
      <c r="H20" s="2">
        <v>45685</v>
      </c>
      <c r="I20">
        <v>33675.25</v>
      </c>
      <c r="J20" t="s">
        <v>400</v>
      </c>
      <c r="K20" t="s">
        <v>401</v>
      </c>
    </row>
    <row r="21" spans="1:11" x14ac:dyDescent="0.35">
      <c r="A21" t="s">
        <v>98</v>
      </c>
      <c r="B21" s="2">
        <v>45672</v>
      </c>
      <c r="C21">
        <v>35580.69</v>
      </c>
      <c r="D21">
        <v>12649.26</v>
      </c>
      <c r="E21">
        <v>0</v>
      </c>
      <c r="F21">
        <v>22931.43</v>
      </c>
      <c r="G21">
        <v>0</v>
      </c>
      <c r="H21" s="2">
        <v>45611</v>
      </c>
      <c r="I21">
        <v>14871.51</v>
      </c>
      <c r="J21" t="s">
        <v>400</v>
      </c>
      <c r="K21" t="s">
        <v>401</v>
      </c>
    </row>
    <row r="22" spans="1:11" x14ac:dyDescent="0.35">
      <c r="A22" t="s">
        <v>101</v>
      </c>
      <c r="B22" s="2">
        <v>45672</v>
      </c>
      <c r="C22">
        <v>196510.7</v>
      </c>
      <c r="D22">
        <v>32377.77</v>
      </c>
      <c r="E22">
        <v>93071.239999999991</v>
      </c>
      <c r="F22">
        <v>5717.409999999998</v>
      </c>
      <c r="G22">
        <v>65344.280000000013</v>
      </c>
      <c r="H22" s="2">
        <v>45696</v>
      </c>
      <c r="I22">
        <v>13073.11</v>
      </c>
      <c r="J22" t="s">
        <v>400</v>
      </c>
      <c r="K22" t="s">
        <v>402</v>
      </c>
    </row>
    <row r="23" spans="1:11" x14ac:dyDescent="0.35">
      <c r="A23" t="s">
        <v>105</v>
      </c>
      <c r="B23" s="2">
        <v>45672</v>
      </c>
      <c r="C23">
        <v>88564.96</v>
      </c>
      <c r="D23">
        <v>53894.37</v>
      </c>
      <c r="E23">
        <v>0</v>
      </c>
      <c r="F23">
        <v>0</v>
      </c>
      <c r="G23">
        <v>34670.589999999997</v>
      </c>
      <c r="H23" s="2">
        <v>45691</v>
      </c>
      <c r="I23">
        <v>34663.17</v>
      </c>
      <c r="J23" t="s">
        <v>400</v>
      </c>
      <c r="K23" t="s">
        <v>402</v>
      </c>
    </row>
    <row r="24" spans="1:11" x14ac:dyDescent="0.35">
      <c r="A24" t="s">
        <v>109</v>
      </c>
      <c r="B24" s="2">
        <v>45672</v>
      </c>
      <c r="C24">
        <v>66169.39</v>
      </c>
      <c r="D24">
        <v>38936.82</v>
      </c>
      <c r="E24">
        <v>0</v>
      </c>
      <c r="F24">
        <v>27232.57</v>
      </c>
      <c r="G24">
        <v>0</v>
      </c>
      <c r="H24" s="2">
        <v>45608</v>
      </c>
      <c r="I24">
        <v>10725.88</v>
      </c>
      <c r="J24" t="s">
        <v>400</v>
      </c>
      <c r="K24" t="s">
        <v>401</v>
      </c>
    </row>
    <row r="25" spans="1:11" x14ac:dyDescent="0.35">
      <c r="A25" t="s">
        <v>111</v>
      </c>
      <c r="B25" s="2">
        <v>45672</v>
      </c>
      <c r="C25">
        <v>122168.55</v>
      </c>
      <c r="D25">
        <v>89884.41</v>
      </c>
      <c r="E25">
        <v>0</v>
      </c>
      <c r="F25">
        <v>32284.14</v>
      </c>
      <c r="G25">
        <v>0</v>
      </c>
      <c r="H25" s="2">
        <v>45697</v>
      </c>
      <c r="I25">
        <v>37385.82</v>
      </c>
      <c r="J25" t="s">
        <v>400</v>
      </c>
      <c r="K25" t="s">
        <v>402</v>
      </c>
    </row>
    <row r="26" spans="1:11" x14ac:dyDescent="0.35">
      <c r="A26" t="s">
        <v>116</v>
      </c>
      <c r="B26" s="2">
        <v>45672</v>
      </c>
      <c r="C26">
        <v>51671.99</v>
      </c>
      <c r="D26">
        <v>8558.5400000000009</v>
      </c>
      <c r="E26">
        <v>0</v>
      </c>
      <c r="F26">
        <v>43113.45</v>
      </c>
      <c r="G26">
        <v>0</v>
      </c>
      <c r="H26" s="2">
        <v>45693</v>
      </c>
      <c r="I26">
        <v>49496.94</v>
      </c>
      <c r="J26" t="s">
        <v>400</v>
      </c>
      <c r="K26" t="s">
        <v>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1"/>
  <sheetViews>
    <sheetView workbookViewId="0"/>
  </sheetViews>
  <sheetFormatPr defaultRowHeight="14.5" x14ac:dyDescent="0.35"/>
  <sheetData>
    <row r="1" spans="1:9" x14ac:dyDescent="0.35">
      <c r="A1" s="1" t="s">
        <v>405</v>
      </c>
      <c r="B1" s="1" t="s">
        <v>120</v>
      </c>
      <c r="C1" s="1" t="s">
        <v>0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128</v>
      </c>
    </row>
    <row r="2" spans="1:9" x14ac:dyDescent="0.35">
      <c r="A2" t="s">
        <v>411</v>
      </c>
      <c r="B2" t="s">
        <v>131</v>
      </c>
      <c r="C2" t="s">
        <v>8</v>
      </c>
      <c r="D2" s="2">
        <v>45666</v>
      </c>
      <c r="E2">
        <v>1620.64</v>
      </c>
      <c r="F2" t="s">
        <v>412</v>
      </c>
      <c r="G2" t="s">
        <v>413</v>
      </c>
      <c r="H2" t="s">
        <v>414</v>
      </c>
      <c r="I2" t="s">
        <v>415</v>
      </c>
    </row>
    <row r="3" spans="1:9" x14ac:dyDescent="0.35">
      <c r="A3" t="s">
        <v>416</v>
      </c>
      <c r="B3" t="s">
        <v>131</v>
      </c>
      <c r="C3" t="s">
        <v>8</v>
      </c>
      <c r="D3" s="2">
        <v>45674</v>
      </c>
      <c r="E3">
        <v>1620.64</v>
      </c>
      <c r="F3" t="s">
        <v>417</v>
      </c>
      <c r="G3" t="s">
        <v>418</v>
      </c>
      <c r="H3" t="s">
        <v>414</v>
      </c>
      <c r="I3" t="s">
        <v>415</v>
      </c>
    </row>
    <row r="4" spans="1:9" x14ac:dyDescent="0.35">
      <c r="A4" t="s">
        <v>419</v>
      </c>
      <c r="B4" t="s">
        <v>136</v>
      </c>
      <c r="C4" t="s">
        <v>8</v>
      </c>
      <c r="D4" s="2">
        <v>45583</v>
      </c>
      <c r="E4">
        <v>11130.97</v>
      </c>
      <c r="F4" t="s">
        <v>412</v>
      </c>
      <c r="G4" t="s">
        <v>420</v>
      </c>
      <c r="H4" t="s">
        <v>421</v>
      </c>
      <c r="I4" t="s">
        <v>415</v>
      </c>
    </row>
    <row r="5" spans="1:9" x14ac:dyDescent="0.35">
      <c r="A5" t="s">
        <v>422</v>
      </c>
      <c r="B5" t="s">
        <v>136</v>
      </c>
      <c r="C5" t="s">
        <v>8</v>
      </c>
      <c r="D5" s="2">
        <v>45597</v>
      </c>
      <c r="E5">
        <v>11130.97</v>
      </c>
      <c r="F5" t="s">
        <v>412</v>
      </c>
      <c r="G5" t="s">
        <v>423</v>
      </c>
      <c r="H5" t="s">
        <v>424</v>
      </c>
      <c r="I5" t="s">
        <v>415</v>
      </c>
    </row>
    <row r="6" spans="1:9" x14ac:dyDescent="0.35">
      <c r="A6" t="s">
        <v>425</v>
      </c>
      <c r="B6" t="s">
        <v>139</v>
      </c>
      <c r="C6" t="s">
        <v>8</v>
      </c>
      <c r="D6" s="2">
        <v>45671</v>
      </c>
      <c r="E6">
        <v>34654.22</v>
      </c>
      <c r="F6" t="s">
        <v>417</v>
      </c>
      <c r="G6" t="s">
        <v>426</v>
      </c>
      <c r="H6" t="s">
        <v>414</v>
      </c>
      <c r="I6" t="s">
        <v>427</v>
      </c>
    </row>
    <row r="7" spans="1:9" x14ac:dyDescent="0.35">
      <c r="A7" t="s">
        <v>428</v>
      </c>
      <c r="B7" t="s">
        <v>143</v>
      </c>
      <c r="C7" t="s">
        <v>8</v>
      </c>
      <c r="D7" s="2">
        <v>45672</v>
      </c>
      <c r="E7">
        <v>3093.32</v>
      </c>
      <c r="F7" t="s">
        <v>417</v>
      </c>
      <c r="G7" t="s">
        <v>429</v>
      </c>
      <c r="H7" t="s">
        <v>430</v>
      </c>
      <c r="I7" t="s">
        <v>415</v>
      </c>
    </row>
    <row r="8" spans="1:9" x14ac:dyDescent="0.35">
      <c r="A8" t="s">
        <v>431</v>
      </c>
      <c r="B8" t="s">
        <v>143</v>
      </c>
      <c r="C8" t="s">
        <v>8</v>
      </c>
      <c r="D8" s="2">
        <v>45671</v>
      </c>
      <c r="E8">
        <v>3093.32</v>
      </c>
      <c r="F8" t="s">
        <v>417</v>
      </c>
      <c r="G8" t="s">
        <v>432</v>
      </c>
      <c r="H8" t="s">
        <v>414</v>
      </c>
      <c r="I8" t="s">
        <v>415</v>
      </c>
    </row>
    <row r="9" spans="1:9" x14ac:dyDescent="0.35">
      <c r="A9" t="s">
        <v>433</v>
      </c>
      <c r="B9" t="s">
        <v>148</v>
      </c>
      <c r="C9" t="s">
        <v>14</v>
      </c>
      <c r="D9" s="2">
        <v>45648</v>
      </c>
      <c r="E9">
        <v>4049.6</v>
      </c>
      <c r="F9" t="s">
        <v>412</v>
      </c>
      <c r="G9" t="s">
        <v>434</v>
      </c>
      <c r="H9" t="s">
        <v>430</v>
      </c>
      <c r="I9" t="s">
        <v>415</v>
      </c>
    </row>
    <row r="10" spans="1:9" x14ac:dyDescent="0.35">
      <c r="A10" t="s">
        <v>435</v>
      </c>
      <c r="B10" t="s">
        <v>154</v>
      </c>
      <c r="C10" t="s">
        <v>14</v>
      </c>
      <c r="D10" s="2">
        <v>45568</v>
      </c>
      <c r="E10">
        <v>40283.18</v>
      </c>
      <c r="F10" t="s">
        <v>436</v>
      </c>
      <c r="G10" t="s">
        <v>437</v>
      </c>
      <c r="H10" t="s">
        <v>430</v>
      </c>
      <c r="I10" t="s">
        <v>415</v>
      </c>
    </row>
    <row r="11" spans="1:9" x14ac:dyDescent="0.35">
      <c r="A11" t="s">
        <v>438</v>
      </c>
      <c r="B11" t="s">
        <v>157</v>
      </c>
      <c r="C11" t="s">
        <v>20</v>
      </c>
      <c r="D11" s="2">
        <v>45600</v>
      </c>
      <c r="E11">
        <v>7025.6</v>
      </c>
      <c r="F11" t="s">
        <v>412</v>
      </c>
      <c r="G11" t="s">
        <v>439</v>
      </c>
      <c r="H11" t="s">
        <v>414</v>
      </c>
      <c r="I11" t="s">
        <v>415</v>
      </c>
    </row>
    <row r="12" spans="1:9" x14ac:dyDescent="0.35">
      <c r="A12" t="s">
        <v>440</v>
      </c>
      <c r="B12" t="s">
        <v>157</v>
      </c>
      <c r="C12" t="s">
        <v>20</v>
      </c>
      <c r="D12" s="2">
        <v>45620</v>
      </c>
      <c r="E12">
        <v>7025.6</v>
      </c>
      <c r="F12" t="s">
        <v>417</v>
      </c>
      <c r="G12" t="s">
        <v>441</v>
      </c>
      <c r="H12" t="s">
        <v>442</v>
      </c>
      <c r="I12" t="s">
        <v>415</v>
      </c>
    </row>
    <row r="13" spans="1:9" x14ac:dyDescent="0.35">
      <c r="A13" t="s">
        <v>443</v>
      </c>
      <c r="B13" t="s">
        <v>160</v>
      </c>
      <c r="C13" t="s">
        <v>20</v>
      </c>
      <c r="D13" s="2">
        <v>45600</v>
      </c>
      <c r="E13">
        <v>8058.24</v>
      </c>
      <c r="F13" t="s">
        <v>444</v>
      </c>
      <c r="G13" t="s">
        <v>445</v>
      </c>
      <c r="H13" t="s">
        <v>430</v>
      </c>
      <c r="I13" t="s">
        <v>415</v>
      </c>
    </row>
    <row r="14" spans="1:9" x14ac:dyDescent="0.35">
      <c r="A14" t="s">
        <v>446</v>
      </c>
      <c r="B14" t="s">
        <v>162</v>
      </c>
      <c r="C14" t="s">
        <v>20</v>
      </c>
      <c r="D14" s="2">
        <v>45611</v>
      </c>
      <c r="E14">
        <v>4911.3999999999996</v>
      </c>
      <c r="F14" t="s">
        <v>412</v>
      </c>
      <c r="G14" t="s">
        <v>447</v>
      </c>
      <c r="H14" t="s">
        <v>442</v>
      </c>
      <c r="I14" t="s">
        <v>415</v>
      </c>
    </row>
    <row r="15" spans="1:9" x14ac:dyDescent="0.35">
      <c r="A15" t="s">
        <v>448</v>
      </c>
      <c r="B15" t="s">
        <v>174</v>
      </c>
      <c r="C15" t="s">
        <v>26</v>
      </c>
      <c r="D15" s="2">
        <v>45619</v>
      </c>
      <c r="E15">
        <v>28802.33</v>
      </c>
      <c r="F15" t="s">
        <v>417</v>
      </c>
      <c r="G15" t="s">
        <v>449</v>
      </c>
      <c r="H15" t="s">
        <v>424</v>
      </c>
      <c r="I15" t="s">
        <v>415</v>
      </c>
    </row>
    <row r="16" spans="1:9" x14ac:dyDescent="0.35">
      <c r="A16" t="s">
        <v>450</v>
      </c>
      <c r="B16" t="s">
        <v>176</v>
      </c>
      <c r="C16" t="s">
        <v>32</v>
      </c>
      <c r="D16" s="2">
        <v>45679</v>
      </c>
      <c r="E16">
        <v>3500.46</v>
      </c>
      <c r="F16" t="s">
        <v>412</v>
      </c>
      <c r="G16" t="s">
        <v>451</v>
      </c>
      <c r="H16" t="s">
        <v>421</v>
      </c>
      <c r="I16" t="s">
        <v>415</v>
      </c>
    </row>
    <row r="17" spans="1:9" x14ac:dyDescent="0.35">
      <c r="A17" t="s">
        <v>452</v>
      </c>
      <c r="B17" t="s">
        <v>176</v>
      </c>
      <c r="C17" t="s">
        <v>32</v>
      </c>
      <c r="D17" s="2">
        <v>45674</v>
      </c>
      <c r="E17">
        <v>3500.46</v>
      </c>
      <c r="F17" t="s">
        <v>412</v>
      </c>
      <c r="G17" t="s">
        <v>453</v>
      </c>
      <c r="H17" t="s">
        <v>442</v>
      </c>
      <c r="I17" t="s">
        <v>415</v>
      </c>
    </row>
    <row r="18" spans="1:9" x14ac:dyDescent="0.35">
      <c r="A18" t="s">
        <v>454</v>
      </c>
      <c r="B18" t="s">
        <v>180</v>
      </c>
      <c r="C18" t="s">
        <v>32</v>
      </c>
      <c r="D18" s="2">
        <v>45602</v>
      </c>
      <c r="E18">
        <v>2014.2</v>
      </c>
      <c r="F18" t="s">
        <v>444</v>
      </c>
      <c r="G18" t="s">
        <v>455</v>
      </c>
      <c r="H18" t="s">
        <v>414</v>
      </c>
      <c r="I18" t="s">
        <v>415</v>
      </c>
    </row>
    <row r="19" spans="1:9" x14ac:dyDescent="0.35">
      <c r="A19" t="s">
        <v>456</v>
      </c>
      <c r="B19" t="s">
        <v>180</v>
      </c>
      <c r="C19" t="s">
        <v>32</v>
      </c>
      <c r="D19" s="2">
        <v>45588</v>
      </c>
      <c r="E19">
        <v>2014.2</v>
      </c>
      <c r="F19" t="s">
        <v>444</v>
      </c>
      <c r="G19" t="s">
        <v>457</v>
      </c>
      <c r="H19" t="s">
        <v>430</v>
      </c>
      <c r="I19" t="s">
        <v>415</v>
      </c>
    </row>
    <row r="20" spans="1:9" x14ac:dyDescent="0.35">
      <c r="A20" t="s">
        <v>458</v>
      </c>
      <c r="B20" t="s">
        <v>180</v>
      </c>
      <c r="C20" t="s">
        <v>32</v>
      </c>
      <c r="D20" s="2">
        <v>45599</v>
      </c>
      <c r="E20">
        <v>2014.2</v>
      </c>
      <c r="F20" t="s">
        <v>412</v>
      </c>
      <c r="G20" t="s">
        <v>459</v>
      </c>
      <c r="H20" t="s">
        <v>442</v>
      </c>
      <c r="I20" t="s">
        <v>415</v>
      </c>
    </row>
    <row r="21" spans="1:9" x14ac:dyDescent="0.35">
      <c r="A21" t="s">
        <v>460</v>
      </c>
      <c r="B21" t="s">
        <v>182</v>
      </c>
      <c r="C21" t="s">
        <v>32</v>
      </c>
      <c r="D21" s="2">
        <v>45651</v>
      </c>
      <c r="E21">
        <v>4329.6899999999996</v>
      </c>
      <c r="F21" t="s">
        <v>436</v>
      </c>
      <c r="G21" t="s">
        <v>461</v>
      </c>
      <c r="H21" t="s">
        <v>421</v>
      </c>
      <c r="I21" t="s">
        <v>415</v>
      </c>
    </row>
    <row r="22" spans="1:9" x14ac:dyDescent="0.35">
      <c r="A22" t="s">
        <v>462</v>
      </c>
      <c r="B22" t="s">
        <v>182</v>
      </c>
      <c r="C22" t="s">
        <v>32</v>
      </c>
      <c r="D22" s="2">
        <v>45678</v>
      </c>
      <c r="E22">
        <v>4329.6899999999996</v>
      </c>
      <c r="F22" t="s">
        <v>436</v>
      </c>
      <c r="G22" t="s">
        <v>463</v>
      </c>
      <c r="H22" t="s">
        <v>430</v>
      </c>
      <c r="I22" t="s">
        <v>415</v>
      </c>
    </row>
    <row r="23" spans="1:9" x14ac:dyDescent="0.35">
      <c r="A23" t="s">
        <v>464</v>
      </c>
      <c r="B23" t="s">
        <v>187</v>
      </c>
      <c r="C23" t="s">
        <v>37</v>
      </c>
      <c r="D23" s="2">
        <v>45588</v>
      </c>
      <c r="E23">
        <v>4634.83</v>
      </c>
      <c r="F23" t="s">
        <v>417</v>
      </c>
      <c r="G23" t="s">
        <v>465</v>
      </c>
      <c r="H23" t="s">
        <v>421</v>
      </c>
      <c r="I23" t="s">
        <v>415</v>
      </c>
    </row>
    <row r="24" spans="1:9" x14ac:dyDescent="0.35">
      <c r="A24" t="s">
        <v>466</v>
      </c>
      <c r="B24" t="s">
        <v>189</v>
      </c>
      <c r="C24" t="s">
        <v>37</v>
      </c>
      <c r="D24" s="2">
        <v>45598</v>
      </c>
      <c r="E24">
        <v>23286.98</v>
      </c>
      <c r="F24" t="s">
        <v>412</v>
      </c>
      <c r="G24" t="s">
        <v>467</v>
      </c>
      <c r="H24" t="s">
        <v>414</v>
      </c>
      <c r="I24" t="s">
        <v>415</v>
      </c>
    </row>
    <row r="25" spans="1:9" x14ac:dyDescent="0.35">
      <c r="A25" t="s">
        <v>468</v>
      </c>
      <c r="B25" t="s">
        <v>194</v>
      </c>
      <c r="C25" t="s">
        <v>37</v>
      </c>
      <c r="D25" s="2">
        <v>45594</v>
      </c>
      <c r="E25">
        <v>2907.35</v>
      </c>
      <c r="F25" t="s">
        <v>412</v>
      </c>
      <c r="G25" t="s">
        <v>469</v>
      </c>
      <c r="H25" t="s">
        <v>421</v>
      </c>
      <c r="I25" t="s">
        <v>415</v>
      </c>
    </row>
    <row r="26" spans="1:9" x14ac:dyDescent="0.35">
      <c r="A26" t="s">
        <v>470</v>
      </c>
      <c r="B26" t="s">
        <v>194</v>
      </c>
      <c r="C26" t="s">
        <v>37</v>
      </c>
      <c r="D26" s="2">
        <v>45591</v>
      </c>
      <c r="E26">
        <v>2907.35</v>
      </c>
      <c r="F26" t="s">
        <v>436</v>
      </c>
      <c r="G26" t="s">
        <v>471</v>
      </c>
      <c r="H26" t="s">
        <v>421</v>
      </c>
      <c r="I26" t="s">
        <v>415</v>
      </c>
    </row>
    <row r="27" spans="1:9" x14ac:dyDescent="0.35">
      <c r="A27" t="s">
        <v>472</v>
      </c>
      <c r="B27" t="s">
        <v>194</v>
      </c>
      <c r="C27" t="s">
        <v>37</v>
      </c>
      <c r="D27" s="2">
        <v>45604</v>
      </c>
      <c r="E27">
        <v>2907.35</v>
      </c>
      <c r="F27" t="s">
        <v>444</v>
      </c>
      <c r="G27" t="s">
        <v>473</v>
      </c>
      <c r="H27" t="s">
        <v>442</v>
      </c>
      <c r="I27" t="s">
        <v>415</v>
      </c>
    </row>
    <row r="28" spans="1:9" x14ac:dyDescent="0.35">
      <c r="A28" t="s">
        <v>474</v>
      </c>
      <c r="B28" t="s">
        <v>200</v>
      </c>
      <c r="C28" t="s">
        <v>42</v>
      </c>
      <c r="D28" s="2">
        <v>45614</v>
      </c>
      <c r="E28">
        <v>17560.62</v>
      </c>
      <c r="F28" t="s">
        <v>417</v>
      </c>
      <c r="G28" t="s">
        <v>475</v>
      </c>
      <c r="H28" t="s">
        <v>421</v>
      </c>
      <c r="I28" t="s">
        <v>415</v>
      </c>
    </row>
    <row r="29" spans="1:9" x14ac:dyDescent="0.35">
      <c r="A29" t="s">
        <v>476</v>
      </c>
      <c r="B29" t="s">
        <v>203</v>
      </c>
      <c r="C29" t="s">
        <v>42</v>
      </c>
      <c r="D29" s="2">
        <v>45620</v>
      </c>
      <c r="E29">
        <v>3851.23</v>
      </c>
      <c r="F29" t="s">
        <v>412</v>
      </c>
      <c r="G29" t="s">
        <v>477</v>
      </c>
      <c r="H29" t="s">
        <v>430</v>
      </c>
      <c r="I29" t="s">
        <v>415</v>
      </c>
    </row>
    <row r="30" spans="1:9" x14ac:dyDescent="0.35">
      <c r="A30" t="s">
        <v>478</v>
      </c>
      <c r="B30" t="s">
        <v>203</v>
      </c>
      <c r="C30" t="s">
        <v>42</v>
      </c>
      <c r="D30" s="2">
        <v>45623</v>
      </c>
      <c r="E30">
        <v>3851.23</v>
      </c>
      <c r="F30" t="s">
        <v>436</v>
      </c>
      <c r="G30" t="s">
        <v>479</v>
      </c>
      <c r="H30" t="s">
        <v>414</v>
      </c>
      <c r="I30" t="s">
        <v>427</v>
      </c>
    </row>
    <row r="31" spans="1:9" x14ac:dyDescent="0.35">
      <c r="A31" t="s">
        <v>480</v>
      </c>
      <c r="B31" t="s">
        <v>205</v>
      </c>
      <c r="C31" t="s">
        <v>47</v>
      </c>
      <c r="D31" s="2">
        <v>45682</v>
      </c>
      <c r="E31">
        <v>6997.39</v>
      </c>
      <c r="F31" t="s">
        <v>417</v>
      </c>
      <c r="G31" t="s">
        <v>481</v>
      </c>
      <c r="H31" t="s">
        <v>430</v>
      </c>
      <c r="I31" t="s">
        <v>415</v>
      </c>
    </row>
    <row r="32" spans="1:9" x14ac:dyDescent="0.35">
      <c r="A32" t="s">
        <v>482</v>
      </c>
      <c r="B32" t="s">
        <v>207</v>
      </c>
      <c r="C32" t="s">
        <v>47</v>
      </c>
      <c r="D32" s="2">
        <v>45612</v>
      </c>
      <c r="E32">
        <v>30804.19</v>
      </c>
      <c r="F32" t="s">
        <v>412</v>
      </c>
      <c r="G32" t="s">
        <v>483</v>
      </c>
      <c r="H32" t="s">
        <v>424</v>
      </c>
      <c r="I32" t="s">
        <v>415</v>
      </c>
    </row>
    <row r="33" spans="1:9" x14ac:dyDescent="0.35">
      <c r="A33" t="s">
        <v>484</v>
      </c>
      <c r="B33" t="s">
        <v>209</v>
      </c>
      <c r="C33" t="s">
        <v>47</v>
      </c>
      <c r="D33" s="2">
        <v>45673</v>
      </c>
      <c r="E33">
        <v>3636.62</v>
      </c>
      <c r="F33" t="s">
        <v>417</v>
      </c>
      <c r="G33" t="s">
        <v>485</v>
      </c>
      <c r="H33" t="s">
        <v>421</v>
      </c>
      <c r="I33" t="s">
        <v>415</v>
      </c>
    </row>
    <row r="34" spans="1:9" x14ac:dyDescent="0.35">
      <c r="A34" t="s">
        <v>486</v>
      </c>
      <c r="B34" t="s">
        <v>209</v>
      </c>
      <c r="C34" t="s">
        <v>47</v>
      </c>
      <c r="D34" s="2">
        <v>45663</v>
      </c>
      <c r="E34">
        <v>3636.62</v>
      </c>
      <c r="F34" t="s">
        <v>436</v>
      </c>
      <c r="G34" t="s">
        <v>487</v>
      </c>
      <c r="H34" t="s">
        <v>442</v>
      </c>
      <c r="I34" t="s">
        <v>415</v>
      </c>
    </row>
    <row r="35" spans="1:9" x14ac:dyDescent="0.35">
      <c r="A35" t="s">
        <v>488</v>
      </c>
      <c r="B35" t="s">
        <v>209</v>
      </c>
      <c r="C35" t="s">
        <v>47</v>
      </c>
      <c r="D35" s="2">
        <v>45668</v>
      </c>
      <c r="E35">
        <v>3636.62</v>
      </c>
      <c r="F35" t="s">
        <v>412</v>
      </c>
      <c r="G35" t="s">
        <v>489</v>
      </c>
      <c r="H35" t="s">
        <v>414</v>
      </c>
      <c r="I35" t="s">
        <v>415</v>
      </c>
    </row>
    <row r="36" spans="1:9" x14ac:dyDescent="0.35">
      <c r="A36" t="s">
        <v>490</v>
      </c>
      <c r="B36" t="s">
        <v>211</v>
      </c>
      <c r="C36" t="s">
        <v>47</v>
      </c>
      <c r="D36" s="2">
        <v>45689</v>
      </c>
      <c r="E36">
        <v>17916.54</v>
      </c>
      <c r="F36" t="s">
        <v>444</v>
      </c>
      <c r="G36" t="s">
        <v>491</v>
      </c>
      <c r="H36" t="s">
        <v>442</v>
      </c>
      <c r="I36" t="s">
        <v>415</v>
      </c>
    </row>
    <row r="37" spans="1:9" x14ac:dyDescent="0.35">
      <c r="A37" t="s">
        <v>492</v>
      </c>
      <c r="B37" t="s">
        <v>213</v>
      </c>
      <c r="C37" t="s">
        <v>52</v>
      </c>
      <c r="D37" s="2">
        <v>45628</v>
      </c>
      <c r="E37">
        <v>7618.8</v>
      </c>
      <c r="F37" t="s">
        <v>436</v>
      </c>
      <c r="G37" t="s">
        <v>493</v>
      </c>
      <c r="H37" t="s">
        <v>442</v>
      </c>
      <c r="I37" t="s">
        <v>415</v>
      </c>
    </row>
    <row r="38" spans="1:9" x14ac:dyDescent="0.35">
      <c r="A38" t="s">
        <v>494</v>
      </c>
      <c r="B38" t="s">
        <v>213</v>
      </c>
      <c r="C38" t="s">
        <v>52</v>
      </c>
      <c r="D38" s="2">
        <v>45616</v>
      </c>
      <c r="E38">
        <v>7618.8</v>
      </c>
      <c r="F38" t="s">
        <v>444</v>
      </c>
      <c r="G38" t="s">
        <v>495</v>
      </c>
      <c r="H38" t="s">
        <v>414</v>
      </c>
      <c r="I38" t="s">
        <v>415</v>
      </c>
    </row>
    <row r="39" spans="1:9" x14ac:dyDescent="0.35">
      <c r="A39" t="s">
        <v>496</v>
      </c>
      <c r="B39" t="s">
        <v>215</v>
      </c>
      <c r="C39" t="s">
        <v>52</v>
      </c>
      <c r="D39" s="2">
        <v>45597</v>
      </c>
      <c r="E39">
        <v>3605.82</v>
      </c>
      <c r="F39" t="s">
        <v>417</v>
      </c>
      <c r="G39" t="s">
        <v>497</v>
      </c>
      <c r="H39" t="s">
        <v>424</v>
      </c>
      <c r="I39" t="s">
        <v>415</v>
      </c>
    </row>
    <row r="40" spans="1:9" x14ac:dyDescent="0.35">
      <c r="A40" t="s">
        <v>498</v>
      </c>
      <c r="B40" t="s">
        <v>215</v>
      </c>
      <c r="C40" t="s">
        <v>52</v>
      </c>
      <c r="D40" s="2">
        <v>45592</v>
      </c>
      <c r="E40">
        <v>3605.82</v>
      </c>
      <c r="F40" t="s">
        <v>412</v>
      </c>
      <c r="G40" t="s">
        <v>499</v>
      </c>
      <c r="H40" t="s">
        <v>442</v>
      </c>
      <c r="I40" t="s">
        <v>415</v>
      </c>
    </row>
    <row r="41" spans="1:9" x14ac:dyDescent="0.35">
      <c r="A41" t="s">
        <v>500</v>
      </c>
      <c r="B41" t="s">
        <v>215</v>
      </c>
      <c r="C41" t="s">
        <v>52</v>
      </c>
      <c r="D41" s="2">
        <v>45609</v>
      </c>
      <c r="E41">
        <v>3605.82</v>
      </c>
      <c r="F41" t="s">
        <v>417</v>
      </c>
      <c r="G41" t="s">
        <v>501</v>
      </c>
      <c r="H41" t="s">
        <v>442</v>
      </c>
      <c r="I41" t="s">
        <v>415</v>
      </c>
    </row>
    <row r="42" spans="1:9" x14ac:dyDescent="0.35">
      <c r="A42" t="s">
        <v>502</v>
      </c>
      <c r="B42" t="s">
        <v>216</v>
      </c>
      <c r="C42" t="s">
        <v>52</v>
      </c>
      <c r="D42" s="2">
        <v>45600</v>
      </c>
      <c r="E42">
        <v>4185.82</v>
      </c>
      <c r="F42" t="s">
        <v>436</v>
      </c>
      <c r="G42" t="s">
        <v>503</v>
      </c>
      <c r="H42" t="s">
        <v>430</v>
      </c>
      <c r="I42" t="s">
        <v>415</v>
      </c>
    </row>
    <row r="43" spans="1:9" x14ac:dyDescent="0.35">
      <c r="A43" t="s">
        <v>504</v>
      </c>
      <c r="B43" t="s">
        <v>216</v>
      </c>
      <c r="C43" t="s">
        <v>52</v>
      </c>
      <c r="D43" s="2">
        <v>45615</v>
      </c>
      <c r="E43">
        <v>4185.82</v>
      </c>
      <c r="F43" t="s">
        <v>412</v>
      </c>
      <c r="G43" t="s">
        <v>505</v>
      </c>
      <c r="H43" t="s">
        <v>414</v>
      </c>
      <c r="I43" t="s">
        <v>415</v>
      </c>
    </row>
    <row r="44" spans="1:9" x14ac:dyDescent="0.35">
      <c r="A44" t="s">
        <v>506</v>
      </c>
      <c r="B44" t="s">
        <v>216</v>
      </c>
      <c r="C44" t="s">
        <v>52</v>
      </c>
      <c r="D44" s="2">
        <v>45589</v>
      </c>
      <c r="E44">
        <v>4185.82</v>
      </c>
      <c r="F44" t="s">
        <v>436</v>
      </c>
      <c r="G44" t="s">
        <v>507</v>
      </c>
      <c r="H44" t="s">
        <v>424</v>
      </c>
      <c r="I44" t="s">
        <v>415</v>
      </c>
    </row>
    <row r="45" spans="1:9" x14ac:dyDescent="0.35">
      <c r="A45" t="s">
        <v>508</v>
      </c>
      <c r="B45" t="s">
        <v>220</v>
      </c>
      <c r="C45" t="s">
        <v>52</v>
      </c>
      <c r="D45" s="2">
        <v>45671</v>
      </c>
      <c r="E45">
        <v>14917.27</v>
      </c>
      <c r="F45" t="s">
        <v>436</v>
      </c>
      <c r="G45" t="s">
        <v>509</v>
      </c>
      <c r="H45" t="s">
        <v>424</v>
      </c>
      <c r="I45" t="s">
        <v>415</v>
      </c>
    </row>
    <row r="46" spans="1:9" x14ac:dyDescent="0.35">
      <c r="A46" t="s">
        <v>510</v>
      </c>
      <c r="B46" t="s">
        <v>222</v>
      </c>
      <c r="C46" t="s">
        <v>52</v>
      </c>
      <c r="D46" s="2">
        <v>45604</v>
      </c>
      <c r="E46">
        <v>44845.93</v>
      </c>
      <c r="F46" t="s">
        <v>417</v>
      </c>
      <c r="G46" t="s">
        <v>511</v>
      </c>
      <c r="H46" t="s">
        <v>421</v>
      </c>
      <c r="I46" t="s">
        <v>512</v>
      </c>
    </row>
    <row r="47" spans="1:9" x14ac:dyDescent="0.35">
      <c r="A47" t="s">
        <v>513</v>
      </c>
      <c r="B47" t="s">
        <v>225</v>
      </c>
      <c r="C47" t="s">
        <v>57</v>
      </c>
      <c r="D47" s="2">
        <v>45628</v>
      </c>
      <c r="E47">
        <v>28343.200000000001</v>
      </c>
      <c r="F47" t="s">
        <v>412</v>
      </c>
      <c r="G47" t="s">
        <v>514</v>
      </c>
      <c r="H47" t="s">
        <v>424</v>
      </c>
      <c r="I47" t="s">
        <v>415</v>
      </c>
    </row>
    <row r="48" spans="1:9" x14ac:dyDescent="0.35">
      <c r="A48" t="s">
        <v>515</v>
      </c>
      <c r="B48" t="s">
        <v>227</v>
      </c>
      <c r="C48" t="s">
        <v>57</v>
      </c>
      <c r="D48" s="2">
        <v>45630</v>
      </c>
      <c r="E48">
        <v>21538.05</v>
      </c>
      <c r="F48" t="s">
        <v>417</v>
      </c>
      <c r="G48" t="s">
        <v>516</v>
      </c>
      <c r="H48" t="s">
        <v>424</v>
      </c>
      <c r="I48" t="s">
        <v>415</v>
      </c>
    </row>
    <row r="49" spans="1:9" x14ac:dyDescent="0.35">
      <c r="A49" t="s">
        <v>517</v>
      </c>
      <c r="B49" t="s">
        <v>229</v>
      </c>
      <c r="C49" t="s">
        <v>57</v>
      </c>
      <c r="D49" s="2">
        <v>45584</v>
      </c>
      <c r="E49">
        <v>9568.73</v>
      </c>
      <c r="F49" t="s">
        <v>417</v>
      </c>
      <c r="G49" t="s">
        <v>518</v>
      </c>
      <c r="H49" t="s">
        <v>442</v>
      </c>
      <c r="I49" t="s">
        <v>415</v>
      </c>
    </row>
    <row r="50" spans="1:9" x14ac:dyDescent="0.35">
      <c r="A50" t="s">
        <v>519</v>
      </c>
      <c r="B50" t="s">
        <v>236</v>
      </c>
      <c r="C50" t="s">
        <v>57</v>
      </c>
      <c r="D50" s="2">
        <v>45640</v>
      </c>
      <c r="E50">
        <v>3038.68</v>
      </c>
      <c r="F50" t="s">
        <v>412</v>
      </c>
      <c r="G50" t="s">
        <v>520</v>
      </c>
      <c r="H50" t="s">
        <v>442</v>
      </c>
      <c r="I50" t="s">
        <v>415</v>
      </c>
    </row>
    <row r="51" spans="1:9" x14ac:dyDescent="0.35">
      <c r="A51" t="s">
        <v>521</v>
      </c>
      <c r="B51" t="s">
        <v>240</v>
      </c>
      <c r="C51" t="s">
        <v>62</v>
      </c>
      <c r="D51" s="2">
        <v>45636</v>
      </c>
      <c r="E51">
        <v>7769.53</v>
      </c>
      <c r="F51" t="s">
        <v>444</v>
      </c>
      <c r="G51" t="s">
        <v>522</v>
      </c>
      <c r="H51" t="s">
        <v>414</v>
      </c>
      <c r="I51" t="s">
        <v>415</v>
      </c>
    </row>
    <row r="52" spans="1:9" x14ac:dyDescent="0.35">
      <c r="A52" t="s">
        <v>523</v>
      </c>
      <c r="B52" t="s">
        <v>240</v>
      </c>
      <c r="C52" t="s">
        <v>62</v>
      </c>
      <c r="D52" s="2">
        <v>45640</v>
      </c>
      <c r="E52">
        <v>7769.53</v>
      </c>
      <c r="F52" t="s">
        <v>412</v>
      </c>
      <c r="G52" t="s">
        <v>524</v>
      </c>
      <c r="H52" t="s">
        <v>430</v>
      </c>
      <c r="I52" t="s">
        <v>415</v>
      </c>
    </row>
    <row r="53" spans="1:9" x14ac:dyDescent="0.35">
      <c r="A53" t="s">
        <v>525</v>
      </c>
      <c r="B53" t="s">
        <v>240</v>
      </c>
      <c r="C53" t="s">
        <v>62</v>
      </c>
      <c r="D53" s="2">
        <v>45622</v>
      </c>
      <c r="E53">
        <v>7769.53</v>
      </c>
      <c r="F53" t="s">
        <v>436</v>
      </c>
      <c r="G53" t="s">
        <v>526</v>
      </c>
      <c r="H53" t="s">
        <v>424</v>
      </c>
      <c r="I53" t="s">
        <v>415</v>
      </c>
    </row>
    <row r="54" spans="1:9" x14ac:dyDescent="0.35">
      <c r="A54" t="s">
        <v>527</v>
      </c>
      <c r="B54" t="s">
        <v>242</v>
      </c>
      <c r="C54" t="s">
        <v>62</v>
      </c>
      <c r="D54" s="2">
        <v>45688</v>
      </c>
      <c r="E54">
        <v>8978.5300000000007</v>
      </c>
      <c r="F54" t="s">
        <v>436</v>
      </c>
      <c r="G54" t="s">
        <v>528</v>
      </c>
      <c r="H54" t="s">
        <v>430</v>
      </c>
      <c r="I54" t="s">
        <v>415</v>
      </c>
    </row>
    <row r="55" spans="1:9" x14ac:dyDescent="0.35">
      <c r="A55" t="s">
        <v>529</v>
      </c>
      <c r="B55" t="s">
        <v>242</v>
      </c>
      <c r="C55" t="s">
        <v>62</v>
      </c>
      <c r="D55" s="2">
        <v>45709</v>
      </c>
      <c r="E55">
        <v>8978.5300000000007</v>
      </c>
      <c r="F55" t="s">
        <v>412</v>
      </c>
      <c r="G55" t="s">
        <v>530</v>
      </c>
      <c r="H55" t="s">
        <v>421</v>
      </c>
      <c r="I55" t="s">
        <v>512</v>
      </c>
    </row>
    <row r="56" spans="1:9" x14ac:dyDescent="0.35">
      <c r="A56" t="s">
        <v>531</v>
      </c>
      <c r="B56" t="s">
        <v>244</v>
      </c>
      <c r="C56" t="s">
        <v>62</v>
      </c>
      <c r="D56" s="2">
        <v>45638</v>
      </c>
      <c r="E56">
        <v>1168.95</v>
      </c>
      <c r="F56" t="s">
        <v>444</v>
      </c>
      <c r="G56" t="s">
        <v>532</v>
      </c>
      <c r="H56" t="s">
        <v>421</v>
      </c>
      <c r="I56" t="s">
        <v>415</v>
      </c>
    </row>
    <row r="57" spans="1:9" x14ac:dyDescent="0.35">
      <c r="A57" t="s">
        <v>533</v>
      </c>
      <c r="B57" t="s">
        <v>244</v>
      </c>
      <c r="C57" t="s">
        <v>62</v>
      </c>
      <c r="D57" s="2">
        <v>45617</v>
      </c>
      <c r="E57">
        <v>1168.95</v>
      </c>
      <c r="F57" t="s">
        <v>436</v>
      </c>
      <c r="G57" t="s">
        <v>534</v>
      </c>
      <c r="H57" t="s">
        <v>424</v>
      </c>
      <c r="I57" t="s">
        <v>427</v>
      </c>
    </row>
    <row r="58" spans="1:9" x14ac:dyDescent="0.35">
      <c r="A58" t="s">
        <v>535</v>
      </c>
      <c r="B58" t="s">
        <v>244</v>
      </c>
      <c r="C58" t="s">
        <v>62</v>
      </c>
      <c r="D58" s="2">
        <v>45643</v>
      </c>
      <c r="E58">
        <v>1168.95</v>
      </c>
      <c r="F58" t="s">
        <v>412</v>
      </c>
      <c r="G58" t="s">
        <v>536</v>
      </c>
      <c r="H58" t="s">
        <v>421</v>
      </c>
      <c r="I58" t="s">
        <v>415</v>
      </c>
    </row>
    <row r="59" spans="1:9" x14ac:dyDescent="0.35">
      <c r="A59" t="s">
        <v>537</v>
      </c>
      <c r="B59" t="s">
        <v>247</v>
      </c>
      <c r="C59" t="s">
        <v>62</v>
      </c>
      <c r="D59" s="2">
        <v>45665</v>
      </c>
      <c r="E59">
        <v>39255.339999999997</v>
      </c>
      <c r="F59" t="s">
        <v>444</v>
      </c>
      <c r="G59" t="s">
        <v>538</v>
      </c>
      <c r="H59" t="s">
        <v>424</v>
      </c>
      <c r="I59" t="s">
        <v>415</v>
      </c>
    </row>
    <row r="60" spans="1:9" x14ac:dyDescent="0.35">
      <c r="A60" t="s">
        <v>539</v>
      </c>
      <c r="B60" t="s">
        <v>250</v>
      </c>
      <c r="C60" t="s">
        <v>66</v>
      </c>
      <c r="D60" s="2">
        <v>45679</v>
      </c>
      <c r="E60">
        <v>3881.6</v>
      </c>
      <c r="F60" t="s">
        <v>444</v>
      </c>
      <c r="G60" t="s">
        <v>540</v>
      </c>
      <c r="H60" t="s">
        <v>424</v>
      </c>
      <c r="I60" t="s">
        <v>415</v>
      </c>
    </row>
    <row r="61" spans="1:9" x14ac:dyDescent="0.35">
      <c r="A61" t="s">
        <v>541</v>
      </c>
      <c r="B61" t="s">
        <v>250</v>
      </c>
      <c r="C61" t="s">
        <v>66</v>
      </c>
      <c r="D61" s="2">
        <v>45693</v>
      </c>
      <c r="E61">
        <v>3881.6</v>
      </c>
      <c r="F61" t="s">
        <v>417</v>
      </c>
      <c r="G61" t="s">
        <v>542</v>
      </c>
      <c r="H61" t="s">
        <v>424</v>
      </c>
      <c r="I61" t="s">
        <v>415</v>
      </c>
    </row>
    <row r="62" spans="1:9" x14ac:dyDescent="0.35">
      <c r="A62" t="s">
        <v>543</v>
      </c>
      <c r="B62" t="s">
        <v>252</v>
      </c>
      <c r="C62" t="s">
        <v>66</v>
      </c>
      <c r="D62" s="2">
        <v>45614</v>
      </c>
      <c r="E62">
        <v>1572.98</v>
      </c>
      <c r="F62" t="s">
        <v>444</v>
      </c>
      <c r="G62" t="s">
        <v>544</v>
      </c>
      <c r="H62" t="s">
        <v>424</v>
      </c>
      <c r="I62" t="s">
        <v>512</v>
      </c>
    </row>
    <row r="63" spans="1:9" x14ac:dyDescent="0.35">
      <c r="A63" t="s">
        <v>545</v>
      </c>
      <c r="B63" t="s">
        <v>252</v>
      </c>
      <c r="C63" t="s">
        <v>66</v>
      </c>
      <c r="D63" s="2">
        <v>45597</v>
      </c>
      <c r="E63">
        <v>1572.98</v>
      </c>
      <c r="F63" t="s">
        <v>417</v>
      </c>
      <c r="G63" t="s">
        <v>546</v>
      </c>
      <c r="H63" t="s">
        <v>424</v>
      </c>
      <c r="I63" t="s">
        <v>415</v>
      </c>
    </row>
    <row r="64" spans="1:9" x14ac:dyDescent="0.35">
      <c r="A64" t="s">
        <v>547</v>
      </c>
      <c r="B64" t="s">
        <v>252</v>
      </c>
      <c r="C64" t="s">
        <v>66</v>
      </c>
      <c r="D64" s="2">
        <v>45592</v>
      </c>
      <c r="E64">
        <v>1572.98</v>
      </c>
      <c r="F64" t="s">
        <v>444</v>
      </c>
      <c r="G64" t="s">
        <v>548</v>
      </c>
      <c r="H64" t="s">
        <v>421</v>
      </c>
      <c r="I64" t="s">
        <v>415</v>
      </c>
    </row>
    <row r="65" spans="1:9" x14ac:dyDescent="0.35">
      <c r="A65" t="s">
        <v>549</v>
      </c>
      <c r="B65" t="s">
        <v>253</v>
      </c>
      <c r="C65" t="s">
        <v>66</v>
      </c>
      <c r="D65" s="2">
        <v>45625</v>
      </c>
      <c r="E65">
        <v>12540.09</v>
      </c>
      <c r="F65" t="s">
        <v>436</v>
      </c>
      <c r="G65" t="s">
        <v>550</v>
      </c>
      <c r="H65" t="s">
        <v>414</v>
      </c>
      <c r="I65" t="s">
        <v>415</v>
      </c>
    </row>
    <row r="66" spans="1:9" x14ac:dyDescent="0.35">
      <c r="A66" t="s">
        <v>551</v>
      </c>
      <c r="B66" t="s">
        <v>253</v>
      </c>
      <c r="C66" t="s">
        <v>66</v>
      </c>
      <c r="D66" s="2">
        <v>45601</v>
      </c>
      <c r="E66">
        <v>12540.09</v>
      </c>
      <c r="F66" t="s">
        <v>412</v>
      </c>
      <c r="G66" t="s">
        <v>552</v>
      </c>
      <c r="H66" t="s">
        <v>424</v>
      </c>
      <c r="I66" t="s">
        <v>415</v>
      </c>
    </row>
    <row r="67" spans="1:9" x14ac:dyDescent="0.35">
      <c r="A67" t="s">
        <v>553</v>
      </c>
      <c r="B67" t="s">
        <v>253</v>
      </c>
      <c r="C67" t="s">
        <v>66</v>
      </c>
      <c r="D67" s="2">
        <v>45598</v>
      </c>
      <c r="E67">
        <v>12540.09</v>
      </c>
      <c r="F67" t="s">
        <v>444</v>
      </c>
      <c r="G67" t="s">
        <v>554</v>
      </c>
      <c r="H67" t="s">
        <v>442</v>
      </c>
      <c r="I67" t="s">
        <v>512</v>
      </c>
    </row>
    <row r="68" spans="1:9" x14ac:dyDescent="0.35">
      <c r="A68" t="s">
        <v>555</v>
      </c>
      <c r="B68" t="s">
        <v>254</v>
      </c>
      <c r="C68" t="s">
        <v>66</v>
      </c>
      <c r="D68" s="2">
        <v>45681</v>
      </c>
      <c r="E68">
        <v>42495.55</v>
      </c>
      <c r="F68" t="s">
        <v>444</v>
      </c>
      <c r="G68" t="s">
        <v>556</v>
      </c>
      <c r="H68" t="s">
        <v>414</v>
      </c>
      <c r="I68" t="s">
        <v>415</v>
      </c>
    </row>
    <row r="69" spans="1:9" x14ac:dyDescent="0.35">
      <c r="A69" t="s">
        <v>557</v>
      </c>
      <c r="B69" t="s">
        <v>257</v>
      </c>
      <c r="C69" t="s">
        <v>66</v>
      </c>
      <c r="D69" s="2">
        <v>45573</v>
      </c>
      <c r="E69">
        <v>8176.57</v>
      </c>
      <c r="F69" t="s">
        <v>412</v>
      </c>
      <c r="G69" t="s">
        <v>558</v>
      </c>
      <c r="H69" t="s">
        <v>421</v>
      </c>
      <c r="I69" t="s">
        <v>415</v>
      </c>
    </row>
    <row r="70" spans="1:9" x14ac:dyDescent="0.35">
      <c r="A70" t="s">
        <v>559</v>
      </c>
      <c r="B70" t="s">
        <v>260</v>
      </c>
      <c r="C70" t="s">
        <v>66</v>
      </c>
      <c r="D70" s="2">
        <v>45644</v>
      </c>
      <c r="E70">
        <v>13324.35</v>
      </c>
      <c r="F70" t="s">
        <v>444</v>
      </c>
      <c r="G70" t="s">
        <v>560</v>
      </c>
      <c r="H70" t="s">
        <v>430</v>
      </c>
      <c r="I70" t="s">
        <v>415</v>
      </c>
    </row>
    <row r="71" spans="1:9" x14ac:dyDescent="0.35">
      <c r="A71" t="s">
        <v>561</v>
      </c>
      <c r="B71" t="s">
        <v>260</v>
      </c>
      <c r="C71" t="s">
        <v>66</v>
      </c>
      <c r="D71" s="2">
        <v>45620</v>
      </c>
      <c r="E71">
        <v>13324.35</v>
      </c>
      <c r="F71" t="s">
        <v>436</v>
      </c>
      <c r="G71" t="s">
        <v>562</v>
      </c>
      <c r="H71" t="s">
        <v>421</v>
      </c>
      <c r="I71" t="s">
        <v>427</v>
      </c>
    </row>
    <row r="72" spans="1:9" x14ac:dyDescent="0.35">
      <c r="A72" t="s">
        <v>563</v>
      </c>
      <c r="B72" t="s">
        <v>260</v>
      </c>
      <c r="C72" t="s">
        <v>66</v>
      </c>
      <c r="D72" s="2">
        <v>45641</v>
      </c>
      <c r="E72">
        <v>13324.35</v>
      </c>
      <c r="F72" t="s">
        <v>417</v>
      </c>
      <c r="G72" t="s">
        <v>564</v>
      </c>
      <c r="H72" t="s">
        <v>442</v>
      </c>
      <c r="I72" t="s">
        <v>415</v>
      </c>
    </row>
    <row r="73" spans="1:9" x14ac:dyDescent="0.35">
      <c r="A73" t="s">
        <v>565</v>
      </c>
      <c r="B73" t="s">
        <v>261</v>
      </c>
      <c r="C73" t="s">
        <v>71</v>
      </c>
      <c r="D73" s="2">
        <v>45637</v>
      </c>
      <c r="E73">
        <v>9231.66</v>
      </c>
      <c r="F73" t="s">
        <v>417</v>
      </c>
      <c r="G73" t="s">
        <v>566</v>
      </c>
      <c r="H73" t="s">
        <v>424</v>
      </c>
      <c r="I73" t="s">
        <v>415</v>
      </c>
    </row>
    <row r="74" spans="1:9" x14ac:dyDescent="0.35">
      <c r="A74" t="s">
        <v>567</v>
      </c>
      <c r="B74" t="s">
        <v>265</v>
      </c>
      <c r="C74" t="s">
        <v>71</v>
      </c>
      <c r="D74" s="2">
        <v>45668</v>
      </c>
      <c r="E74">
        <v>25906.62</v>
      </c>
      <c r="F74" t="s">
        <v>417</v>
      </c>
      <c r="G74" t="s">
        <v>568</v>
      </c>
      <c r="H74" t="s">
        <v>424</v>
      </c>
      <c r="I74" t="s">
        <v>415</v>
      </c>
    </row>
    <row r="75" spans="1:9" x14ac:dyDescent="0.35">
      <c r="A75" t="s">
        <v>569</v>
      </c>
      <c r="B75" t="s">
        <v>267</v>
      </c>
      <c r="C75" t="s">
        <v>71</v>
      </c>
      <c r="D75" s="2">
        <v>45649</v>
      </c>
      <c r="E75">
        <v>14545.39</v>
      </c>
      <c r="F75" t="s">
        <v>444</v>
      </c>
      <c r="G75" t="s">
        <v>570</v>
      </c>
      <c r="H75" t="s">
        <v>442</v>
      </c>
      <c r="I75" t="s">
        <v>415</v>
      </c>
    </row>
    <row r="76" spans="1:9" x14ac:dyDescent="0.35">
      <c r="A76" t="s">
        <v>571</v>
      </c>
      <c r="B76" t="s">
        <v>269</v>
      </c>
      <c r="C76" t="s">
        <v>71</v>
      </c>
      <c r="D76" s="2">
        <v>45685</v>
      </c>
      <c r="E76">
        <v>2162.59</v>
      </c>
      <c r="F76" t="s">
        <v>417</v>
      </c>
      <c r="G76" t="s">
        <v>572</v>
      </c>
      <c r="H76" t="s">
        <v>414</v>
      </c>
      <c r="I76" t="s">
        <v>415</v>
      </c>
    </row>
    <row r="77" spans="1:9" x14ac:dyDescent="0.35">
      <c r="A77" t="s">
        <v>573</v>
      </c>
      <c r="B77" t="s">
        <v>269</v>
      </c>
      <c r="C77" t="s">
        <v>71</v>
      </c>
      <c r="D77" s="2">
        <v>45692</v>
      </c>
      <c r="E77">
        <v>2162.59</v>
      </c>
      <c r="F77" t="s">
        <v>436</v>
      </c>
      <c r="G77" t="s">
        <v>574</v>
      </c>
      <c r="H77" t="s">
        <v>424</v>
      </c>
      <c r="I77" t="s">
        <v>415</v>
      </c>
    </row>
    <row r="78" spans="1:9" x14ac:dyDescent="0.35">
      <c r="A78" t="s">
        <v>575</v>
      </c>
      <c r="B78" t="s">
        <v>273</v>
      </c>
      <c r="C78" t="s">
        <v>71</v>
      </c>
      <c r="D78" s="2">
        <v>45676</v>
      </c>
      <c r="E78">
        <v>9652.07</v>
      </c>
      <c r="F78" t="s">
        <v>417</v>
      </c>
      <c r="G78" t="s">
        <v>576</v>
      </c>
      <c r="H78" t="s">
        <v>430</v>
      </c>
      <c r="I78" t="s">
        <v>512</v>
      </c>
    </row>
    <row r="79" spans="1:9" x14ac:dyDescent="0.35">
      <c r="A79" t="s">
        <v>577</v>
      </c>
      <c r="B79" t="s">
        <v>273</v>
      </c>
      <c r="C79" t="s">
        <v>71</v>
      </c>
      <c r="D79" s="2">
        <v>45665</v>
      </c>
      <c r="E79">
        <v>9652.07</v>
      </c>
      <c r="F79" t="s">
        <v>436</v>
      </c>
      <c r="G79" t="s">
        <v>578</v>
      </c>
      <c r="H79" t="s">
        <v>414</v>
      </c>
      <c r="I79" t="s">
        <v>415</v>
      </c>
    </row>
    <row r="80" spans="1:9" x14ac:dyDescent="0.35">
      <c r="A80" t="s">
        <v>579</v>
      </c>
      <c r="B80" t="s">
        <v>277</v>
      </c>
      <c r="C80" t="s">
        <v>75</v>
      </c>
      <c r="D80" s="2">
        <v>45623</v>
      </c>
      <c r="E80">
        <v>4576.82</v>
      </c>
      <c r="F80" t="s">
        <v>412</v>
      </c>
      <c r="G80" t="s">
        <v>580</v>
      </c>
      <c r="H80" t="s">
        <v>414</v>
      </c>
      <c r="I80" t="s">
        <v>415</v>
      </c>
    </row>
    <row r="81" spans="1:9" x14ac:dyDescent="0.35">
      <c r="A81" t="s">
        <v>581</v>
      </c>
      <c r="B81" t="s">
        <v>277</v>
      </c>
      <c r="C81" t="s">
        <v>75</v>
      </c>
      <c r="D81" s="2">
        <v>45604</v>
      </c>
      <c r="E81">
        <v>4576.82</v>
      </c>
      <c r="F81" t="s">
        <v>444</v>
      </c>
      <c r="G81" t="s">
        <v>582</v>
      </c>
      <c r="H81" t="s">
        <v>430</v>
      </c>
      <c r="I81" t="s">
        <v>512</v>
      </c>
    </row>
    <row r="82" spans="1:9" x14ac:dyDescent="0.35">
      <c r="A82" t="s">
        <v>583</v>
      </c>
      <c r="B82" t="s">
        <v>279</v>
      </c>
      <c r="C82" t="s">
        <v>75</v>
      </c>
      <c r="D82" s="2">
        <v>45613</v>
      </c>
      <c r="E82">
        <v>13261.93</v>
      </c>
      <c r="F82" t="s">
        <v>417</v>
      </c>
      <c r="G82" t="s">
        <v>584</v>
      </c>
      <c r="H82" t="s">
        <v>442</v>
      </c>
      <c r="I82" t="s">
        <v>415</v>
      </c>
    </row>
    <row r="83" spans="1:9" x14ac:dyDescent="0.35">
      <c r="A83" t="s">
        <v>585</v>
      </c>
      <c r="B83" t="s">
        <v>279</v>
      </c>
      <c r="C83" t="s">
        <v>75</v>
      </c>
      <c r="D83" s="2">
        <v>45612</v>
      </c>
      <c r="E83">
        <v>13261.93</v>
      </c>
      <c r="F83" t="s">
        <v>436</v>
      </c>
      <c r="G83" t="s">
        <v>586</v>
      </c>
      <c r="H83" t="s">
        <v>442</v>
      </c>
      <c r="I83" t="s">
        <v>415</v>
      </c>
    </row>
    <row r="84" spans="1:9" x14ac:dyDescent="0.35">
      <c r="A84" t="s">
        <v>587</v>
      </c>
      <c r="B84" t="s">
        <v>283</v>
      </c>
      <c r="C84" t="s">
        <v>80</v>
      </c>
      <c r="D84" s="2">
        <v>45613</v>
      </c>
      <c r="E84">
        <v>17795.27</v>
      </c>
      <c r="F84" t="s">
        <v>417</v>
      </c>
      <c r="G84" t="s">
        <v>588</v>
      </c>
      <c r="H84" t="s">
        <v>414</v>
      </c>
      <c r="I84" t="s">
        <v>415</v>
      </c>
    </row>
    <row r="85" spans="1:9" x14ac:dyDescent="0.35">
      <c r="A85" t="s">
        <v>589</v>
      </c>
      <c r="B85" t="s">
        <v>285</v>
      </c>
      <c r="C85" t="s">
        <v>80</v>
      </c>
      <c r="D85" s="2">
        <v>45687</v>
      </c>
      <c r="E85">
        <v>3111.1</v>
      </c>
      <c r="F85" t="s">
        <v>436</v>
      </c>
      <c r="G85" t="s">
        <v>590</v>
      </c>
      <c r="H85" t="s">
        <v>442</v>
      </c>
      <c r="I85" t="s">
        <v>415</v>
      </c>
    </row>
    <row r="86" spans="1:9" x14ac:dyDescent="0.35">
      <c r="A86" t="s">
        <v>591</v>
      </c>
      <c r="B86" t="s">
        <v>286</v>
      </c>
      <c r="C86" t="s">
        <v>80</v>
      </c>
      <c r="D86" s="2">
        <v>45581</v>
      </c>
      <c r="E86">
        <v>10047.780000000001</v>
      </c>
      <c r="F86" t="s">
        <v>417</v>
      </c>
      <c r="G86" t="s">
        <v>592</v>
      </c>
      <c r="H86" t="s">
        <v>430</v>
      </c>
      <c r="I86" t="s">
        <v>415</v>
      </c>
    </row>
    <row r="87" spans="1:9" x14ac:dyDescent="0.35">
      <c r="A87" t="s">
        <v>593</v>
      </c>
      <c r="B87" t="s">
        <v>286</v>
      </c>
      <c r="C87" t="s">
        <v>80</v>
      </c>
      <c r="D87" s="2">
        <v>45604</v>
      </c>
      <c r="E87">
        <v>10047.780000000001</v>
      </c>
      <c r="F87" t="s">
        <v>417</v>
      </c>
      <c r="G87" t="s">
        <v>594</v>
      </c>
      <c r="H87" t="s">
        <v>442</v>
      </c>
      <c r="I87" t="s">
        <v>427</v>
      </c>
    </row>
    <row r="88" spans="1:9" x14ac:dyDescent="0.35">
      <c r="A88" t="s">
        <v>595</v>
      </c>
      <c r="B88" t="s">
        <v>286</v>
      </c>
      <c r="C88" t="s">
        <v>80</v>
      </c>
      <c r="D88" s="2">
        <v>45601</v>
      </c>
      <c r="E88">
        <v>10047.780000000001</v>
      </c>
      <c r="F88" t="s">
        <v>436</v>
      </c>
      <c r="G88" t="s">
        <v>596</v>
      </c>
      <c r="H88" t="s">
        <v>414</v>
      </c>
      <c r="I88" t="s">
        <v>415</v>
      </c>
    </row>
    <row r="89" spans="1:9" x14ac:dyDescent="0.35">
      <c r="A89" t="s">
        <v>597</v>
      </c>
      <c r="B89" t="s">
        <v>288</v>
      </c>
      <c r="C89" t="s">
        <v>85</v>
      </c>
      <c r="D89" s="2">
        <v>45667</v>
      </c>
      <c r="E89">
        <v>18127.490000000002</v>
      </c>
      <c r="F89" t="s">
        <v>412</v>
      </c>
      <c r="G89" t="s">
        <v>598</v>
      </c>
      <c r="H89" t="s">
        <v>414</v>
      </c>
      <c r="I89" t="s">
        <v>415</v>
      </c>
    </row>
    <row r="90" spans="1:9" x14ac:dyDescent="0.35">
      <c r="A90" t="s">
        <v>599</v>
      </c>
      <c r="B90" t="s">
        <v>288</v>
      </c>
      <c r="C90" t="s">
        <v>85</v>
      </c>
      <c r="D90" s="2">
        <v>45663</v>
      </c>
      <c r="E90">
        <v>18127.490000000002</v>
      </c>
      <c r="F90" t="s">
        <v>412</v>
      </c>
      <c r="G90" t="s">
        <v>600</v>
      </c>
      <c r="H90" t="s">
        <v>430</v>
      </c>
      <c r="I90" t="s">
        <v>415</v>
      </c>
    </row>
    <row r="91" spans="1:9" x14ac:dyDescent="0.35">
      <c r="A91" t="s">
        <v>601</v>
      </c>
      <c r="B91" t="s">
        <v>290</v>
      </c>
      <c r="C91" t="s">
        <v>85</v>
      </c>
      <c r="D91" s="2">
        <v>45683</v>
      </c>
      <c r="E91">
        <v>30733.56</v>
      </c>
      <c r="F91" t="s">
        <v>417</v>
      </c>
      <c r="G91" t="s">
        <v>602</v>
      </c>
      <c r="H91" t="s">
        <v>430</v>
      </c>
      <c r="I91" t="s">
        <v>415</v>
      </c>
    </row>
    <row r="92" spans="1:9" x14ac:dyDescent="0.35">
      <c r="A92" t="s">
        <v>603</v>
      </c>
      <c r="B92" t="s">
        <v>292</v>
      </c>
      <c r="C92" t="s">
        <v>85</v>
      </c>
      <c r="D92" s="2">
        <v>45673</v>
      </c>
      <c r="E92">
        <v>824.09</v>
      </c>
      <c r="F92" t="s">
        <v>417</v>
      </c>
      <c r="G92" t="s">
        <v>604</v>
      </c>
      <c r="H92" t="s">
        <v>414</v>
      </c>
      <c r="I92" t="s">
        <v>415</v>
      </c>
    </row>
    <row r="93" spans="1:9" x14ac:dyDescent="0.35">
      <c r="A93" t="s">
        <v>605</v>
      </c>
      <c r="B93" t="s">
        <v>292</v>
      </c>
      <c r="C93" t="s">
        <v>85</v>
      </c>
      <c r="D93" s="2">
        <v>45672</v>
      </c>
      <c r="E93">
        <v>824.09</v>
      </c>
      <c r="F93" t="s">
        <v>417</v>
      </c>
      <c r="G93" t="s">
        <v>606</v>
      </c>
      <c r="H93" t="s">
        <v>424</v>
      </c>
      <c r="I93" t="s">
        <v>427</v>
      </c>
    </row>
    <row r="94" spans="1:9" x14ac:dyDescent="0.35">
      <c r="A94" t="s">
        <v>607</v>
      </c>
      <c r="B94" t="s">
        <v>292</v>
      </c>
      <c r="C94" t="s">
        <v>85</v>
      </c>
      <c r="D94" s="2">
        <v>45687</v>
      </c>
      <c r="E94">
        <v>824.09</v>
      </c>
      <c r="F94" t="s">
        <v>436</v>
      </c>
      <c r="G94" t="s">
        <v>608</v>
      </c>
      <c r="H94" t="s">
        <v>424</v>
      </c>
      <c r="I94" t="s">
        <v>415</v>
      </c>
    </row>
    <row r="95" spans="1:9" x14ac:dyDescent="0.35">
      <c r="A95" t="s">
        <v>609</v>
      </c>
      <c r="B95" t="s">
        <v>294</v>
      </c>
      <c r="C95" t="s">
        <v>85</v>
      </c>
      <c r="D95" s="2">
        <v>45672</v>
      </c>
      <c r="E95">
        <v>16714.259999999998</v>
      </c>
      <c r="F95" t="s">
        <v>436</v>
      </c>
      <c r="G95" t="s">
        <v>610</v>
      </c>
      <c r="H95" t="s">
        <v>442</v>
      </c>
      <c r="I95" t="s">
        <v>415</v>
      </c>
    </row>
    <row r="96" spans="1:9" x14ac:dyDescent="0.35">
      <c r="A96" t="s">
        <v>611</v>
      </c>
      <c r="B96" t="s">
        <v>296</v>
      </c>
      <c r="C96" t="s">
        <v>85</v>
      </c>
      <c r="D96" s="2">
        <v>45618</v>
      </c>
      <c r="E96">
        <v>7387.48</v>
      </c>
      <c r="F96" t="s">
        <v>444</v>
      </c>
      <c r="G96" t="s">
        <v>612</v>
      </c>
      <c r="H96" t="s">
        <v>430</v>
      </c>
      <c r="I96" t="s">
        <v>512</v>
      </c>
    </row>
    <row r="97" spans="1:9" x14ac:dyDescent="0.35">
      <c r="A97" t="s">
        <v>613</v>
      </c>
      <c r="B97" t="s">
        <v>296</v>
      </c>
      <c r="C97" t="s">
        <v>85</v>
      </c>
      <c r="D97" s="2">
        <v>45623</v>
      </c>
      <c r="E97">
        <v>7387.48</v>
      </c>
      <c r="F97" t="s">
        <v>436</v>
      </c>
      <c r="G97" t="s">
        <v>614</v>
      </c>
      <c r="H97" t="s">
        <v>421</v>
      </c>
      <c r="I97" t="s">
        <v>415</v>
      </c>
    </row>
    <row r="98" spans="1:9" x14ac:dyDescent="0.35">
      <c r="A98" t="s">
        <v>615</v>
      </c>
      <c r="B98" t="s">
        <v>300</v>
      </c>
      <c r="C98" t="s">
        <v>85</v>
      </c>
      <c r="D98" s="2">
        <v>45620</v>
      </c>
      <c r="E98">
        <v>21772.74</v>
      </c>
      <c r="F98" t="s">
        <v>412</v>
      </c>
      <c r="G98" t="s">
        <v>616</v>
      </c>
      <c r="H98" t="s">
        <v>414</v>
      </c>
      <c r="I98" t="s">
        <v>415</v>
      </c>
    </row>
    <row r="99" spans="1:9" x14ac:dyDescent="0.35">
      <c r="A99" t="s">
        <v>617</v>
      </c>
      <c r="B99" t="s">
        <v>302</v>
      </c>
      <c r="C99" t="s">
        <v>87</v>
      </c>
      <c r="D99" s="2">
        <v>45622</v>
      </c>
      <c r="E99">
        <v>21967.99</v>
      </c>
      <c r="F99" t="s">
        <v>436</v>
      </c>
      <c r="G99" t="s">
        <v>618</v>
      </c>
      <c r="H99" t="s">
        <v>442</v>
      </c>
      <c r="I99" t="s">
        <v>415</v>
      </c>
    </row>
    <row r="100" spans="1:9" x14ac:dyDescent="0.35">
      <c r="A100" t="s">
        <v>619</v>
      </c>
      <c r="B100" t="s">
        <v>303</v>
      </c>
      <c r="C100" t="s">
        <v>87</v>
      </c>
      <c r="D100" s="2">
        <v>45647</v>
      </c>
      <c r="E100">
        <v>48286</v>
      </c>
      <c r="F100" t="s">
        <v>412</v>
      </c>
      <c r="G100" t="s">
        <v>620</v>
      </c>
      <c r="H100" t="s">
        <v>421</v>
      </c>
      <c r="I100" t="s">
        <v>415</v>
      </c>
    </row>
    <row r="101" spans="1:9" x14ac:dyDescent="0.35">
      <c r="A101" t="s">
        <v>621</v>
      </c>
      <c r="B101" t="s">
        <v>305</v>
      </c>
      <c r="C101" t="s">
        <v>87</v>
      </c>
      <c r="D101" s="2">
        <v>45581</v>
      </c>
      <c r="E101">
        <v>1899.17</v>
      </c>
      <c r="F101" t="s">
        <v>417</v>
      </c>
      <c r="G101" t="s">
        <v>622</v>
      </c>
      <c r="H101" t="s">
        <v>442</v>
      </c>
      <c r="I101" t="s">
        <v>415</v>
      </c>
    </row>
    <row r="102" spans="1:9" x14ac:dyDescent="0.35">
      <c r="A102" t="s">
        <v>623</v>
      </c>
      <c r="B102" t="s">
        <v>305</v>
      </c>
      <c r="C102" t="s">
        <v>87</v>
      </c>
      <c r="D102" s="2">
        <v>45579</v>
      </c>
      <c r="E102">
        <v>1899.17</v>
      </c>
      <c r="F102" t="s">
        <v>412</v>
      </c>
      <c r="G102" t="s">
        <v>624</v>
      </c>
      <c r="H102" t="s">
        <v>421</v>
      </c>
      <c r="I102" t="s">
        <v>415</v>
      </c>
    </row>
    <row r="103" spans="1:9" x14ac:dyDescent="0.35">
      <c r="A103" t="s">
        <v>625</v>
      </c>
      <c r="B103" t="s">
        <v>305</v>
      </c>
      <c r="C103" t="s">
        <v>87</v>
      </c>
      <c r="D103" s="2">
        <v>45599</v>
      </c>
      <c r="E103">
        <v>1899.17</v>
      </c>
      <c r="F103" t="s">
        <v>444</v>
      </c>
      <c r="G103" t="s">
        <v>626</v>
      </c>
      <c r="H103" t="s">
        <v>424</v>
      </c>
      <c r="I103" t="s">
        <v>415</v>
      </c>
    </row>
    <row r="104" spans="1:9" x14ac:dyDescent="0.35">
      <c r="A104" t="s">
        <v>627</v>
      </c>
      <c r="B104" t="s">
        <v>307</v>
      </c>
      <c r="C104" t="s">
        <v>87</v>
      </c>
      <c r="D104" s="2">
        <v>45664</v>
      </c>
      <c r="E104">
        <v>4197.91</v>
      </c>
      <c r="F104" t="s">
        <v>417</v>
      </c>
      <c r="G104" t="s">
        <v>628</v>
      </c>
      <c r="H104" t="s">
        <v>442</v>
      </c>
      <c r="I104" t="s">
        <v>415</v>
      </c>
    </row>
    <row r="105" spans="1:9" x14ac:dyDescent="0.35">
      <c r="A105" t="s">
        <v>629</v>
      </c>
      <c r="B105" t="s">
        <v>307</v>
      </c>
      <c r="C105" t="s">
        <v>87</v>
      </c>
      <c r="D105" s="2">
        <v>45676</v>
      </c>
      <c r="E105">
        <v>4197.91</v>
      </c>
      <c r="F105" t="s">
        <v>444</v>
      </c>
      <c r="G105" t="s">
        <v>630</v>
      </c>
      <c r="H105" t="s">
        <v>414</v>
      </c>
      <c r="I105" t="s">
        <v>415</v>
      </c>
    </row>
    <row r="106" spans="1:9" x14ac:dyDescent="0.35">
      <c r="A106" t="s">
        <v>631</v>
      </c>
      <c r="B106" t="s">
        <v>308</v>
      </c>
      <c r="C106" t="s">
        <v>87</v>
      </c>
      <c r="D106" s="2">
        <v>45633</v>
      </c>
      <c r="E106">
        <v>14619.62</v>
      </c>
      <c r="F106" t="s">
        <v>417</v>
      </c>
      <c r="G106" t="s">
        <v>632</v>
      </c>
      <c r="H106" t="s">
        <v>430</v>
      </c>
      <c r="I106" t="s">
        <v>415</v>
      </c>
    </row>
    <row r="107" spans="1:9" x14ac:dyDescent="0.35">
      <c r="A107" t="s">
        <v>633</v>
      </c>
      <c r="B107" t="s">
        <v>309</v>
      </c>
      <c r="C107" t="s">
        <v>87</v>
      </c>
      <c r="D107" s="2">
        <v>45646</v>
      </c>
      <c r="E107">
        <v>3950.27</v>
      </c>
      <c r="F107" t="s">
        <v>412</v>
      </c>
      <c r="G107" t="s">
        <v>634</v>
      </c>
      <c r="H107" t="s">
        <v>414</v>
      </c>
      <c r="I107" t="s">
        <v>415</v>
      </c>
    </row>
    <row r="108" spans="1:9" x14ac:dyDescent="0.35">
      <c r="A108" t="s">
        <v>635</v>
      </c>
      <c r="B108" t="s">
        <v>309</v>
      </c>
      <c r="C108" t="s">
        <v>87</v>
      </c>
      <c r="D108" s="2">
        <v>45657</v>
      </c>
      <c r="E108">
        <v>3950.27</v>
      </c>
      <c r="F108" t="s">
        <v>412</v>
      </c>
      <c r="G108" t="s">
        <v>636</v>
      </c>
      <c r="H108" t="s">
        <v>424</v>
      </c>
      <c r="I108" t="s">
        <v>415</v>
      </c>
    </row>
    <row r="109" spans="1:9" x14ac:dyDescent="0.35">
      <c r="A109" t="s">
        <v>637</v>
      </c>
      <c r="B109" t="s">
        <v>317</v>
      </c>
      <c r="C109" t="s">
        <v>89</v>
      </c>
      <c r="D109" s="2">
        <v>45637</v>
      </c>
      <c r="E109">
        <v>5615.35</v>
      </c>
      <c r="F109" t="s">
        <v>444</v>
      </c>
      <c r="G109" t="s">
        <v>638</v>
      </c>
      <c r="H109" t="s">
        <v>424</v>
      </c>
      <c r="I109" t="s">
        <v>415</v>
      </c>
    </row>
    <row r="110" spans="1:9" x14ac:dyDescent="0.35">
      <c r="A110" t="s">
        <v>639</v>
      </c>
      <c r="B110" t="s">
        <v>319</v>
      </c>
      <c r="C110" t="s">
        <v>89</v>
      </c>
      <c r="D110" s="2">
        <v>45621</v>
      </c>
      <c r="E110">
        <v>15208.63</v>
      </c>
      <c r="F110" t="s">
        <v>444</v>
      </c>
      <c r="G110" t="s">
        <v>640</v>
      </c>
      <c r="H110" t="s">
        <v>442</v>
      </c>
      <c r="I110" t="s">
        <v>415</v>
      </c>
    </row>
    <row r="111" spans="1:9" x14ac:dyDescent="0.35">
      <c r="A111" t="s">
        <v>641</v>
      </c>
      <c r="B111" t="s">
        <v>319</v>
      </c>
      <c r="C111" t="s">
        <v>89</v>
      </c>
      <c r="D111" s="2">
        <v>45619</v>
      </c>
      <c r="E111">
        <v>15208.63</v>
      </c>
      <c r="F111" t="s">
        <v>412</v>
      </c>
      <c r="G111" t="s">
        <v>642</v>
      </c>
      <c r="H111" t="s">
        <v>442</v>
      </c>
      <c r="I111" t="s">
        <v>415</v>
      </c>
    </row>
    <row r="112" spans="1:9" x14ac:dyDescent="0.35">
      <c r="A112" t="s">
        <v>643</v>
      </c>
      <c r="B112" t="s">
        <v>321</v>
      </c>
      <c r="C112" t="s">
        <v>89</v>
      </c>
      <c r="D112" s="2">
        <v>45622</v>
      </c>
      <c r="E112">
        <v>15967.89</v>
      </c>
      <c r="F112" t="s">
        <v>412</v>
      </c>
      <c r="G112" t="s">
        <v>644</v>
      </c>
      <c r="H112" t="s">
        <v>442</v>
      </c>
      <c r="I112" t="s">
        <v>415</v>
      </c>
    </row>
    <row r="113" spans="1:9" x14ac:dyDescent="0.35">
      <c r="A113" t="s">
        <v>645</v>
      </c>
      <c r="B113" t="s">
        <v>323</v>
      </c>
      <c r="C113" t="s">
        <v>89</v>
      </c>
      <c r="D113" s="2">
        <v>45594</v>
      </c>
      <c r="E113">
        <v>37884.03</v>
      </c>
      <c r="F113" t="s">
        <v>444</v>
      </c>
      <c r="G113" t="s">
        <v>646</v>
      </c>
      <c r="H113" t="s">
        <v>424</v>
      </c>
      <c r="I113" t="s">
        <v>415</v>
      </c>
    </row>
    <row r="114" spans="1:9" x14ac:dyDescent="0.35">
      <c r="A114" t="s">
        <v>647</v>
      </c>
      <c r="B114" t="s">
        <v>325</v>
      </c>
      <c r="C114" t="s">
        <v>89</v>
      </c>
      <c r="D114" s="2">
        <v>45579</v>
      </c>
      <c r="E114">
        <v>5126.8900000000003</v>
      </c>
      <c r="F114" t="s">
        <v>436</v>
      </c>
      <c r="G114" t="s">
        <v>648</v>
      </c>
      <c r="H114" t="s">
        <v>414</v>
      </c>
      <c r="I114" t="s">
        <v>415</v>
      </c>
    </row>
    <row r="115" spans="1:9" x14ac:dyDescent="0.35">
      <c r="A115" t="s">
        <v>649</v>
      </c>
      <c r="B115" t="s">
        <v>325</v>
      </c>
      <c r="C115" t="s">
        <v>89</v>
      </c>
      <c r="D115" s="2">
        <v>45585</v>
      </c>
      <c r="E115">
        <v>5126.8900000000003</v>
      </c>
      <c r="F115" t="s">
        <v>412</v>
      </c>
      <c r="G115" t="s">
        <v>650</v>
      </c>
      <c r="H115" t="s">
        <v>421</v>
      </c>
      <c r="I115" t="s">
        <v>415</v>
      </c>
    </row>
    <row r="116" spans="1:9" x14ac:dyDescent="0.35">
      <c r="A116" t="s">
        <v>651</v>
      </c>
      <c r="B116" t="s">
        <v>325</v>
      </c>
      <c r="C116" t="s">
        <v>89</v>
      </c>
      <c r="D116" s="2">
        <v>45592</v>
      </c>
      <c r="E116">
        <v>5126.8900000000003</v>
      </c>
      <c r="F116" t="s">
        <v>436</v>
      </c>
      <c r="G116" t="s">
        <v>652</v>
      </c>
      <c r="H116" t="s">
        <v>424</v>
      </c>
      <c r="I116" t="s">
        <v>415</v>
      </c>
    </row>
    <row r="117" spans="1:9" x14ac:dyDescent="0.35">
      <c r="A117" t="s">
        <v>653</v>
      </c>
      <c r="B117" t="s">
        <v>327</v>
      </c>
      <c r="C117" t="s">
        <v>89</v>
      </c>
      <c r="D117" s="2">
        <v>45608</v>
      </c>
      <c r="E117">
        <v>3159.25</v>
      </c>
      <c r="F117" t="s">
        <v>417</v>
      </c>
      <c r="G117" t="s">
        <v>654</v>
      </c>
      <c r="H117" t="s">
        <v>430</v>
      </c>
      <c r="I117" t="s">
        <v>415</v>
      </c>
    </row>
    <row r="118" spans="1:9" x14ac:dyDescent="0.35">
      <c r="A118" t="s">
        <v>655</v>
      </c>
      <c r="B118" t="s">
        <v>327</v>
      </c>
      <c r="C118" t="s">
        <v>89</v>
      </c>
      <c r="D118" s="2">
        <v>45614</v>
      </c>
      <c r="E118">
        <v>3159.25</v>
      </c>
      <c r="F118" t="s">
        <v>444</v>
      </c>
      <c r="G118" t="s">
        <v>656</v>
      </c>
      <c r="H118" t="s">
        <v>430</v>
      </c>
      <c r="I118" t="s">
        <v>415</v>
      </c>
    </row>
    <row r="119" spans="1:9" x14ac:dyDescent="0.35">
      <c r="A119" t="s">
        <v>657</v>
      </c>
      <c r="B119" t="s">
        <v>327</v>
      </c>
      <c r="C119" t="s">
        <v>89</v>
      </c>
      <c r="D119" s="2">
        <v>45609</v>
      </c>
      <c r="E119">
        <v>3159.25</v>
      </c>
      <c r="F119" t="s">
        <v>412</v>
      </c>
      <c r="G119" t="s">
        <v>658</v>
      </c>
      <c r="H119" t="s">
        <v>421</v>
      </c>
      <c r="I119" t="s">
        <v>415</v>
      </c>
    </row>
    <row r="120" spans="1:9" x14ac:dyDescent="0.35">
      <c r="A120" t="s">
        <v>659</v>
      </c>
      <c r="B120" t="s">
        <v>329</v>
      </c>
      <c r="C120" t="s">
        <v>94</v>
      </c>
      <c r="D120" s="2">
        <v>45680</v>
      </c>
      <c r="E120">
        <v>5881.86</v>
      </c>
      <c r="F120" t="s">
        <v>444</v>
      </c>
      <c r="G120" t="s">
        <v>660</v>
      </c>
      <c r="H120" t="s">
        <v>424</v>
      </c>
      <c r="I120" t="s">
        <v>415</v>
      </c>
    </row>
    <row r="121" spans="1:9" x14ac:dyDescent="0.35">
      <c r="A121" t="s">
        <v>661</v>
      </c>
      <c r="B121" t="s">
        <v>329</v>
      </c>
      <c r="C121" t="s">
        <v>94</v>
      </c>
      <c r="D121" s="2">
        <v>45682</v>
      </c>
      <c r="E121">
        <v>5881.86</v>
      </c>
      <c r="F121" t="s">
        <v>444</v>
      </c>
      <c r="G121" t="s">
        <v>662</v>
      </c>
      <c r="H121" t="s">
        <v>414</v>
      </c>
      <c r="I121" t="s">
        <v>415</v>
      </c>
    </row>
    <row r="122" spans="1:9" x14ac:dyDescent="0.35">
      <c r="A122" t="s">
        <v>663</v>
      </c>
      <c r="B122" t="s">
        <v>329</v>
      </c>
      <c r="C122" t="s">
        <v>94</v>
      </c>
      <c r="D122" s="2">
        <v>45685</v>
      </c>
      <c r="E122">
        <v>5881.86</v>
      </c>
      <c r="F122" t="s">
        <v>444</v>
      </c>
      <c r="G122" t="s">
        <v>664</v>
      </c>
      <c r="H122" t="s">
        <v>414</v>
      </c>
      <c r="I122" t="s">
        <v>415</v>
      </c>
    </row>
    <row r="123" spans="1:9" x14ac:dyDescent="0.35">
      <c r="A123" t="s">
        <v>665</v>
      </c>
      <c r="B123" t="s">
        <v>331</v>
      </c>
      <c r="C123" t="s">
        <v>94</v>
      </c>
      <c r="D123" s="2">
        <v>45669</v>
      </c>
      <c r="E123">
        <v>27603.1</v>
      </c>
      <c r="F123" t="s">
        <v>417</v>
      </c>
      <c r="G123" t="s">
        <v>666</v>
      </c>
      <c r="H123" t="s">
        <v>421</v>
      </c>
      <c r="I123" t="s">
        <v>427</v>
      </c>
    </row>
    <row r="124" spans="1:9" x14ac:dyDescent="0.35">
      <c r="A124" t="s">
        <v>667</v>
      </c>
      <c r="B124" t="s">
        <v>332</v>
      </c>
      <c r="C124" t="s">
        <v>94</v>
      </c>
      <c r="D124" s="2">
        <v>45557</v>
      </c>
      <c r="E124">
        <v>5239.8900000000003</v>
      </c>
      <c r="F124" t="s">
        <v>444</v>
      </c>
      <c r="G124" t="s">
        <v>668</v>
      </c>
      <c r="H124" t="s">
        <v>424</v>
      </c>
      <c r="I124" t="s">
        <v>415</v>
      </c>
    </row>
    <row r="125" spans="1:9" x14ac:dyDescent="0.35">
      <c r="A125" t="s">
        <v>669</v>
      </c>
      <c r="B125" t="s">
        <v>332</v>
      </c>
      <c r="C125" t="s">
        <v>94</v>
      </c>
      <c r="D125" s="2">
        <v>45566</v>
      </c>
      <c r="E125">
        <v>5239.8900000000003</v>
      </c>
      <c r="F125" t="s">
        <v>417</v>
      </c>
      <c r="G125" t="s">
        <v>670</v>
      </c>
      <c r="H125" t="s">
        <v>414</v>
      </c>
      <c r="I125" t="s">
        <v>427</v>
      </c>
    </row>
    <row r="126" spans="1:9" x14ac:dyDescent="0.35">
      <c r="A126" t="s">
        <v>671</v>
      </c>
      <c r="B126" t="s">
        <v>333</v>
      </c>
      <c r="C126" t="s">
        <v>94</v>
      </c>
      <c r="D126" s="2">
        <v>45590</v>
      </c>
      <c r="E126">
        <v>33675.25</v>
      </c>
      <c r="F126" t="s">
        <v>444</v>
      </c>
      <c r="G126" t="s">
        <v>672</v>
      </c>
      <c r="H126" t="s">
        <v>442</v>
      </c>
      <c r="I126" t="s">
        <v>415</v>
      </c>
    </row>
    <row r="127" spans="1:9" x14ac:dyDescent="0.35">
      <c r="A127" t="s">
        <v>673</v>
      </c>
      <c r="B127" t="s">
        <v>335</v>
      </c>
      <c r="C127" t="s">
        <v>94</v>
      </c>
      <c r="D127" s="2">
        <v>45610</v>
      </c>
      <c r="E127">
        <v>15883.96</v>
      </c>
      <c r="F127" t="s">
        <v>417</v>
      </c>
      <c r="G127" t="s">
        <v>674</v>
      </c>
      <c r="H127" t="s">
        <v>424</v>
      </c>
      <c r="I127" t="s">
        <v>415</v>
      </c>
    </row>
    <row r="128" spans="1:9" x14ac:dyDescent="0.35">
      <c r="A128" t="s">
        <v>675</v>
      </c>
      <c r="B128" t="s">
        <v>339</v>
      </c>
      <c r="C128" t="s">
        <v>98</v>
      </c>
      <c r="D128" s="2">
        <v>45611</v>
      </c>
      <c r="E128">
        <v>14871.51</v>
      </c>
      <c r="F128" t="s">
        <v>412</v>
      </c>
      <c r="G128" t="s">
        <v>676</v>
      </c>
      <c r="H128" t="s">
        <v>430</v>
      </c>
      <c r="I128" t="s">
        <v>415</v>
      </c>
    </row>
    <row r="129" spans="1:9" x14ac:dyDescent="0.35">
      <c r="A129" t="s">
        <v>677</v>
      </c>
      <c r="B129" t="s">
        <v>340</v>
      </c>
      <c r="C129" t="s">
        <v>98</v>
      </c>
      <c r="D129" s="2">
        <v>45593</v>
      </c>
      <c r="E129">
        <v>3241.08</v>
      </c>
      <c r="F129" t="s">
        <v>444</v>
      </c>
      <c r="G129" t="s">
        <v>678</v>
      </c>
      <c r="H129" t="s">
        <v>424</v>
      </c>
      <c r="I129" t="s">
        <v>415</v>
      </c>
    </row>
    <row r="130" spans="1:9" x14ac:dyDescent="0.35">
      <c r="A130" t="s">
        <v>679</v>
      </c>
      <c r="B130" t="s">
        <v>345</v>
      </c>
      <c r="C130" t="s">
        <v>101</v>
      </c>
      <c r="D130" s="2">
        <v>45696</v>
      </c>
      <c r="E130">
        <v>13073.11</v>
      </c>
      <c r="F130" t="s">
        <v>412</v>
      </c>
      <c r="G130" t="s">
        <v>680</v>
      </c>
      <c r="H130" t="s">
        <v>424</v>
      </c>
      <c r="I130" t="s">
        <v>415</v>
      </c>
    </row>
    <row r="131" spans="1:9" x14ac:dyDescent="0.35">
      <c r="A131" t="s">
        <v>681</v>
      </c>
      <c r="B131" t="s">
        <v>347</v>
      </c>
      <c r="C131" t="s">
        <v>101</v>
      </c>
      <c r="D131" s="2">
        <v>45623</v>
      </c>
      <c r="E131">
        <v>4248.18</v>
      </c>
      <c r="F131" t="s">
        <v>412</v>
      </c>
      <c r="G131" t="s">
        <v>682</v>
      </c>
      <c r="H131" t="s">
        <v>442</v>
      </c>
      <c r="I131" t="s">
        <v>415</v>
      </c>
    </row>
    <row r="132" spans="1:9" x14ac:dyDescent="0.35">
      <c r="A132" t="s">
        <v>683</v>
      </c>
      <c r="B132" t="s">
        <v>347</v>
      </c>
      <c r="C132" t="s">
        <v>101</v>
      </c>
      <c r="D132" s="2">
        <v>45601</v>
      </c>
      <c r="E132">
        <v>4248.18</v>
      </c>
      <c r="F132" t="s">
        <v>417</v>
      </c>
      <c r="G132" t="s">
        <v>684</v>
      </c>
      <c r="H132" t="s">
        <v>414</v>
      </c>
      <c r="I132" t="s">
        <v>415</v>
      </c>
    </row>
    <row r="133" spans="1:9" x14ac:dyDescent="0.35">
      <c r="A133" t="s">
        <v>685</v>
      </c>
      <c r="B133" t="s">
        <v>347</v>
      </c>
      <c r="C133" t="s">
        <v>101</v>
      </c>
      <c r="D133" s="2">
        <v>45603</v>
      </c>
      <c r="E133">
        <v>4248.18</v>
      </c>
      <c r="F133" t="s">
        <v>412</v>
      </c>
      <c r="G133" t="s">
        <v>686</v>
      </c>
      <c r="H133" t="s">
        <v>424</v>
      </c>
      <c r="I133" t="s">
        <v>415</v>
      </c>
    </row>
    <row r="134" spans="1:9" x14ac:dyDescent="0.35">
      <c r="A134" t="s">
        <v>687</v>
      </c>
      <c r="B134" t="s">
        <v>352</v>
      </c>
      <c r="C134" t="s">
        <v>101</v>
      </c>
      <c r="D134" s="2">
        <v>45562</v>
      </c>
      <c r="E134">
        <v>879.38</v>
      </c>
      <c r="F134" t="s">
        <v>412</v>
      </c>
      <c r="G134" t="s">
        <v>688</v>
      </c>
      <c r="H134" t="s">
        <v>430</v>
      </c>
      <c r="I134" t="s">
        <v>427</v>
      </c>
    </row>
    <row r="135" spans="1:9" x14ac:dyDescent="0.35">
      <c r="A135" t="s">
        <v>689</v>
      </c>
      <c r="B135" t="s">
        <v>352</v>
      </c>
      <c r="C135" t="s">
        <v>101</v>
      </c>
      <c r="D135" s="2">
        <v>45572</v>
      </c>
      <c r="E135">
        <v>879.38</v>
      </c>
      <c r="F135" t="s">
        <v>412</v>
      </c>
      <c r="G135" t="s">
        <v>690</v>
      </c>
      <c r="H135" t="s">
        <v>424</v>
      </c>
      <c r="I135" t="s">
        <v>415</v>
      </c>
    </row>
    <row r="136" spans="1:9" x14ac:dyDescent="0.35">
      <c r="A136" t="s">
        <v>691</v>
      </c>
      <c r="B136" t="s">
        <v>353</v>
      </c>
      <c r="C136" t="s">
        <v>105</v>
      </c>
      <c r="D136" s="2">
        <v>45600</v>
      </c>
      <c r="E136">
        <v>4809.03</v>
      </c>
      <c r="F136" t="s">
        <v>436</v>
      </c>
      <c r="G136" t="s">
        <v>692</v>
      </c>
      <c r="H136" t="s">
        <v>442</v>
      </c>
      <c r="I136" t="s">
        <v>415</v>
      </c>
    </row>
    <row r="137" spans="1:9" x14ac:dyDescent="0.35">
      <c r="A137" t="s">
        <v>693</v>
      </c>
      <c r="B137" t="s">
        <v>353</v>
      </c>
      <c r="C137" t="s">
        <v>105</v>
      </c>
      <c r="D137" s="2">
        <v>45592</v>
      </c>
      <c r="E137">
        <v>4809.03</v>
      </c>
      <c r="F137" t="s">
        <v>412</v>
      </c>
      <c r="G137" t="s">
        <v>694</v>
      </c>
      <c r="H137" t="s">
        <v>414</v>
      </c>
      <c r="I137" t="s">
        <v>415</v>
      </c>
    </row>
    <row r="138" spans="1:9" x14ac:dyDescent="0.35">
      <c r="A138" t="s">
        <v>695</v>
      </c>
      <c r="B138" t="s">
        <v>353</v>
      </c>
      <c r="C138" t="s">
        <v>105</v>
      </c>
      <c r="D138" s="2">
        <v>45575</v>
      </c>
      <c r="E138">
        <v>4809.03</v>
      </c>
      <c r="F138" t="s">
        <v>444</v>
      </c>
      <c r="G138" t="s">
        <v>696</v>
      </c>
      <c r="H138" t="s">
        <v>424</v>
      </c>
      <c r="I138" t="s">
        <v>415</v>
      </c>
    </row>
    <row r="139" spans="1:9" x14ac:dyDescent="0.35">
      <c r="A139" t="s">
        <v>697</v>
      </c>
      <c r="B139" t="s">
        <v>355</v>
      </c>
      <c r="C139" t="s">
        <v>105</v>
      </c>
      <c r="D139" s="2">
        <v>45595</v>
      </c>
      <c r="E139">
        <v>34663.17</v>
      </c>
      <c r="F139" t="s">
        <v>417</v>
      </c>
      <c r="G139" t="s">
        <v>698</v>
      </c>
      <c r="H139" t="s">
        <v>421</v>
      </c>
      <c r="I139" t="s">
        <v>415</v>
      </c>
    </row>
    <row r="140" spans="1:9" x14ac:dyDescent="0.35">
      <c r="A140" t="s">
        <v>699</v>
      </c>
      <c r="B140" t="s">
        <v>357</v>
      </c>
      <c r="C140" t="s">
        <v>105</v>
      </c>
      <c r="D140" s="2">
        <v>45672</v>
      </c>
      <c r="E140">
        <v>1400.71</v>
      </c>
      <c r="F140" t="s">
        <v>436</v>
      </c>
      <c r="G140" t="s">
        <v>700</v>
      </c>
      <c r="H140" t="s">
        <v>442</v>
      </c>
      <c r="I140" t="s">
        <v>415</v>
      </c>
    </row>
    <row r="141" spans="1:9" x14ac:dyDescent="0.35">
      <c r="A141" t="s">
        <v>701</v>
      </c>
      <c r="B141" t="s">
        <v>357</v>
      </c>
      <c r="C141" t="s">
        <v>105</v>
      </c>
      <c r="D141" s="2">
        <v>45691</v>
      </c>
      <c r="E141">
        <v>1400.71</v>
      </c>
      <c r="F141" t="s">
        <v>444</v>
      </c>
      <c r="G141" t="s">
        <v>702</v>
      </c>
      <c r="H141" t="s">
        <v>424</v>
      </c>
      <c r="I141" t="s">
        <v>415</v>
      </c>
    </row>
    <row r="142" spans="1:9" x14ac:dyDescent="0.35">
      <c r="A142" t="s">
        <v>703</v>
      </c>
      <c r="B142" t="s">
        <v>358</v>
      </c>
      <c r="C142" t="s">
        <v>105</v>
      </c>
      <c r="D142" s="2">
        <v>45661</v>
      </c>
      <c r="E142">
        <v>7389.06</v>
      </c>
      <c r="F142" t="s">
        <v>444</v>
      </c>
      <c r="G142" t="s">
        <v>704</v>
      </c>
      <c r="H142" t="s">
        <v>442</v>
      </c>
      <c r="I142" t="s">
        <v>512</v>
      </c>
    </row>
    <row r="143" spans="1:9" x14ac:dyDescent="0.35">
      <c r="A143" t="s">
        <v>705</v>
      </c>
      <c r="B143" t="s">
        <v>358</v>
      </c>
      <c r="C143" t="s">
        <v>105</v>
      </c>
      <c r="D143" s="2">
        <v>45669</v>
      </c>
      <c r="E143">
        <v>7389.06</v>
      </c>
      <c r="F143" t="s">
        <v>412</v>
      </c>
      <c r="G143" t="s">
        <v>706</v>
      </c>
      <c r="H143" t="s">
        <v>430</v>
      </c>
      <c r="I143" t="s">
        <v>512</v>
      </c>
    </row>
    <row r="144" spans="1:9" x14ac:dyDescent="0.35">
      <c r="A144" t="s">
        <v>707</v>
      </c>
      <c r="B144" t="s">
        <v>360</v>
      </c>
      <c r="C144" t="s">
        <v>105</v>
      </c>
      <c r="D144" s="2">
        <v>45572</v>
      </c>
      <c r="E144">
        <v>11320.69</v>
      </c>
      <c r="F144" t="s">
        <v>444</v>
      </c>
      <c r="G144" t="s">
        <v>708</v>
      </c>
      <c r="H144" t="s">
        <v>442</v>
      </c>
      <c r="I144" t="s">
        <v>415</v>
      </c>
    </row>
    <row r="145" spans="1:9" x14ac:dyDescent="0.35">
      <c r="A145" t="s">
        <v>709</v>
      </c>
      <c r="B145" t="s">
        <v>360</v>
      </c>
      <c r="C145" t="s">
        <v>105</v>
      </c>
      <c r="D145" s="2">
        <v>45559</v>
      </c>
      <c r="E145">
        <v>11320.69</v>
      </c>
      <c r="F145" t="s">
        <v>412</v>
      </c>
      <c r="G145" t="s">
        <v>710</v>
      </c>
      <c r="H145" t="s">
        <v>421</v>
      </c>
      <c r="I145" t="s">
        <v>415</v>
      </c>
    </row>
    <row r="146" spans="1:9" x14ac:dyDescent="0.35">
      <c r="A146" t="s">
        <v>711</v>
      </c>
      <c r="B146" t="s">
        <v>360</v>
      </c>
      <c r="C146" t="s">
        <v>105</v>
      </c>
      <c r="D146" s="2">
        <v>45567</v>
      </c>
      <c r="E146">
        <v>11320.69</v>
      </c>
      <c r="F146" t="s">
        <v>417</v>
      </c>
      <c r="G146" t="s">
        <v>712</v>
      </c>
      <c r="H146" t="s">
        <v>424</v>
      </c>
      <c r="I146" t="s">
        <v>427</v>
      </c>
    </row>
    <row r="147" spans="1:9" x14ac:dyDescent="0.35">
      <c r="A147" t="s">
        <v>713</v>
      </c>
      <c r="B147" t="s">
        <v>364</v>
      </c>
      <c r="C147" t="s">
        <v>109</v>
      </c>
      <c r="D147" s="2">
        <v>45608</v>
      </c>
      <c r="E147">
        <v>298.69</v>
      </c>
      <c r="F147" t="s">
        <v>417</v>
      </c>
      <c r="G147" t="s">
        <v>714</v>
      </c>
      <c r="H147" t="s">
        <v>442</v>
      </c>
      <c r="I147" t="s">
        <v>415</v>
      </c>
    </row>
    <row r="148" spans="1:9" x14ac:dyDescent="0.35">
      <c r="A148" t="s">
        <v>715</v>
      </c>
      <c r="B148" t="s">
        <v>366</v>
      </c>
      <c r="C148" t="s">
        <v>109</v>
      </c>
      <c r="D148" s="2">
        <v>45587</v>
      </c>
      <c r="E148">
        <v>10725.88</v>
      </c>
      <c r="F148" t="s">
        <v>436</v>
      </c>
      <c r="G148" t="s">
        <v>716</v>
      </c>
      <c r="H148" t="s">
        <v>430</v>
      </c>
      <c r="I148" t="s">
        <v>415</v>
      </c>
    </row>
    <row r="149" spans="1:9" x14ac:dyDescent="0.35">
      <c r="A149" t="s">
        <v>717</v>
      </c>
      <c r="B149" t="s">
        <v>370</v>
      </c>
      <c r="C149" t="s">
        <v>111</v>
      </c>
      <c r="D149" s="2">
        <v>45590</v>
      </c>
      <c r="E149">
        <v>2132.16</v>
      </c>
      <c r="F149" t="s">
        <v>412</v>
      </c>
      <c r="G149" t="s">
        <v>718</v>
      </c>
      <c r="H149" t="s">
        <v>442</v>
      </c>
      <c r="I149" t="s">
        <v>415</v>
      </c>
    </row>
    <row r="150" spans="1:9" x14ac:dyDescent="0.35">
      <c r="A150" t="s">
        <v>719</v>
      </c>
      <c r="B150" t="s">
        <v>370</v>
      </c>
      <c r="C150" t="s">
        <v>111</v>
      </c>
      <c r="D150" s="2">
        <v>45577</v>
      </c>
      <c r="E150">
        <v>2132.16</v>
      </c>
      <c r="F150" t="s">
        <v>444</v>
      </c>
      <c r="G150" t="s">
        <v>720</v>
      </c>
      <c r="H150" t="s">
        <v>414</v>
      </c>
      <c r="I150" t="s">
        <v>415</v>
      </c>
    </row>
    <row r="151" spans="1:9" x14ac:dyDescent="0.35">
      <c r="A151" t="s">
        <v>721</v>
      </c>
      <c r="B151" t="s">
        <v>372</v>
      </c>
      <c r="C151" t="s">
        <v>111</v>
      </c>
      <c r="D151" s="2">
        <v>45697</v>
      </c>
      <c r="E151">
        <v>635.84</v>
      </c>
      <c r="F151" t="s">
        <v>436</v>
      </c>
      <c r="G151" t="s">
        <v>722</v>
      </c>
      <c r="H151" t="s">
        <v>442</v>
      </c>
      <c r="I151" t="s">
        <v>415</v>
      </c>
    </row>
    <row r="152" spans="1:9" x14ac:dyDescent="0.35">
      <c r="A152" t="s">
        <v>723</v>
      </c>
      <c r="B152" t="s">
        <v>372</v>
      </c>
      <c r="C152" t="s">
        <v>111</v>
      </c>
      <c r="D152" s="2">
        <v>45695</v>
      </c>
      <c r="E152">
        <v>635.84</v>
      </c>
      <c r="F152" t="s">
        <v>444</v>
      </c>
      <c r="G152" t="s">
        <v>724</v>
      </c>
      <c r="H152" t="s">
        <v>424</v>
      </c>
      <c r="I152" t="s">
        <v>415</v>
      </c>
    </row>
    <row r="153" spans="1:9" x14ac:dyDescent="0.35">
      <c r="A153" t="s">
        <v>725</v>
      </c>
      <c r="B153" t="s">
        <v>374</v>
      </c>
      <c r="C153" t="s">
        <v>111</v>
      </c>
      <c r="D153" s="2">
        <v>45664</v>
      </c>
      <c r="E153">
        <v>37385.82</v>
      </c>
      <c r="F153" t="s">
        <v>417</v>
      </c>
      <c r="G153" t="s">
        <v>726</v>
      </c>
      <c r="H153" t="s">
        <v>421</v>
      </c>
      <c r="I153" t="s">
        <v>415</v>
      </c>
    </row>
    <row r="154" spans="1:9" x14ac:dyDescent="0.35">
      <c r="A154" t="s">
        <v>727</v>
      </c>
      <c r="B154" t="s">
        <v>375</v>
      </c>
      <c r="C154" t="s">
        <v>111</v>
      </c>
      <c r="D154" s="2">
        <v>45656</v>
      </c>
      <c r="E154">
        <v>3489.07</v>
      </c>
      <c r="F154" t="s">
        <v>436</v>
      </c>
      <c r="G154" t="s">
        <v>728</v>
      </c>
      <c r="H154" t="s">
        <v>424</v>
      </c>
      <c r="I154" t="s">
        <v>415</v>
      </c>
    </row>
    <row r="155" spans="1:9" x14ac:dyDescent="0.35">
      <c r="A155" t="s">
        <v>729</v>
      </c>
      <c r="B155" t="s">
        <v>380</v>
      </c>
      <c r="C155" t="s">
        <v>116</v>
      </c>
      <c r="D155" s="2">
        <v>45658</v>
      </c>
      <c r="E155">
        <v>49496.94</v>
      </c>
      <c r="F155" t="s">
        <v>436</v>
      </c>
      <c r="G155" t="s">
        <v>730</v>
      </c>
      <c r="H155" t="s">
        <v>430</v>
      </c>
      <c r="I155" t="s">
        <v>415</v>
      </c>
    </row>
    <row r="156" spans="1:9" x14ac:dyDescent="0.35">
      <c r="A156" t="s">
        <v>731</v>
      </c>
      <c r="B156" t="s">
        <v>382</v>
      </c>
      <c r="C156" t="s">
        <v>116</v>
      </c>
      <c r="D156" s="2">
        <v>45575</v>
      </c>
      <c r="E156">
        <v>6106.05</v>
      </c>
      <c r="F156" t="s">
        <v>417</v>
      </c>
      <c r="G156" t="s">
        <v>732</v>
      </c>
      <c r="H156" t="s">
        <v>421</v>
      </c>
      <c r="I156" t="s">
        <v>512</v>
      </c>
    </row>
    <row r="157" spans="1:9" x14ac:dyDescent="0.35">
      <c r="A157" t="s">
        <v>733</v>
      </c>
      <c r="B157" t="s">
        <v>382</v>
      </c>
      <c r="C157" t="s">
        <v>116</v>
      </c>
      <c r="D157" s="2">
        <v>45573</v>
      </c>
      <c r="E157">
        <v>6106.05</v>
      </c>
      <c r="F157" t="s">
        <v>436</v>
      </c>
      <c r="G157" t="s">
        <v>734</v>
      </c>
      <c r="H157" t="s">
        <v>442</v>
      </c>
      <c r="I157" t="s">
        <v>415</v>
      </c>
    </row>
    <row r="158" spans="1:9" x14ac:dyDescent="0.35">
      <c r="A158" t="s">
        <v>735</v>
      </c>
      <c r="B158" t="s">
        <v>384</v>
      </c>
      <c r="C158" t="s">
        <v>116</v>
      </c>
      <c r="D158" s="2">
        <v>45693</v>
      </c>
      <c r="E158">
        <v>29309.7</v>
      </c>
      <c r="F158" t="s">
        <v>412</v>
      </c>
      <c r="G158" t="s">
        <v>736</v>
      </c>
      <c r="H158" t="s">
        <v>430</v>
      </c>
      <c r="I158" t="s">
        <v>427</v>
      </c>
    </row>
    <row r="159" spans="1:9" x14ac:dyDescent="0.35">
      <c r="A159" t="s">
        <v>737</v>
      </c>
      <c r="B159" t="s">
        <v>385</v>
      </c>
      <c r="C159" t="s">
        <v>116</v>
      </c>
      <c r="D159" s="2">
        <v>45584</v>
      </c>
      <c r="E159">
        <v>319.39999999999998</v>
      </c>
      <c r="F159" t="s">
        <v>417</v>
      </c>
      <c r="G159" t="s">
        <v>738</v>
      </c>
      <c r="H159" t="s">
        <v>421</v>
      </c>
      <c r="I159" t="s">
        <v>512</v>
      </c>
    </row>
    <row r="160" spans="1:9" x14ac:dyDescent="0.35">
      <c r="A160" t="s">
        <v>739</v>
      </c>
      <c r="B160" t="s">
        <v>385</v>
      </c>
      <c r="C160" t="s">
        <v>116</v>
      </c>
      <c r="D160" s="2">
        <v>45606</v>
      </c>
      <c r="E160">
        <v>319.39999999999998</v>
      </c>
      <c r="F160" t="s">
        <v>417</v>
      </c>
      <c r="G160" t="s">
        <v>740</v>
      </c>
      <c r="H160" t="s">
        <v>442</v>
      </c>
      <c r="I160" t="s">
        <v>415</v>
      </c>
    </row>
    <row r="161" spans="1:9" x14ac:dyDescent="0.35">
      <c r="A161" t="s">
        <v>741</v>
      </c>
      <c r="B161" t="s">
        <v>387</v>
      </c>
      <c r="C161" t="s">
        <v>116</v>
      </c>
      <c r="D161" s="2">
        <v>45688</v>
      </c>
      <c r="E161">
        <v>29996.400000000001</v>
      </c>
      <c r="F161" t="s">
        <v>412</v>
      </c>
      <c r="G161" t="s">
        <v>742</v>
      </c>
      <c r="H161" t="s">
        <v>421</v>
      </c>
      <c r="I161" t="s">
        <v>415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7"/>
  <sheetViews>
    <sheetView workbookViewId="0"/>
  </sheetViews>
  <sheetFormatPr defaultRowHeight="14.5" x14ac:dyDescent="0.35"/>
  <sheetData>
    <row r="1" spans="1:12" x14ac:dyDescent="0.35">
      <c r="A1" s="1" t="s">
        <v>743</v>
      </c>
      <c r="B1" s="1" t="s">
        <v>0</v>
      </c>
      <c r="C1" s="1" t="s">
        <v>1</v>
      </c>
      <c r="D1" s="1" t="s">
        <v>2</v>
      </c>
      <c r="E1" s="1" t="s">
        <v>744</v>
      </c>
      <c r="F1" s="1" t="s">
        <v>745</v>
      </c>
      <c r="G1" s="1" t="s">
        <v>3</v>
      </c>
      <c r="H1" s="1" t="s">
        <v>746</v>
      </c>
      <c r="I1" s="1" t="s">
        <v>747</v>
      </c>
      <c r="J1" s="1" t="s">
        <v>748</v>
      </c>
      <c r="K1" s="1" t="s">
        <v>128</v>
      </c>
      <c r="L1" s="1" t="s">
        <v>749</v>
      </c>
    </row>
    <row r="2" spans="1:12" x14ac:dyDescent="0.35">
      <c r="A2" t="s">
        <v>750</v>
      </c>
      <c r="B2" t="s">
        <v>8</v>
      </c>
      <c r="C2" t="s">
        <v>9</v>
      </c>
      <c r="D2" t="s">
        <v>10</v>
      </c>
      <c r="E2" s="2">
        <v>45645</v>
      </c>
      <c r="F2" t="s">
        <v>751</v>
      </c>
      <c r="G2" t="s">
        <v>752</v>
      </c>
      <c r="H2" t="s">
        <v>753</v>
      </c>
      <c r="I2" t="s">
        <v>754</v>
      </c>
      <c r="J2" t="s">
        <v>755</v>
      </c>
      <c r="K2" t="s">
        <v>756</v>
      </c>
      <c r="L2" s="2">
        <v>45648</v>
      </c>
    </row>
    <row r="3" spans="1:12" x14ac:dyDescent="0.35">
      <c r="A3" t="s">
        <v>757</v>
      </c>
      <c r="B3" t="s">
        <v>8</v>
      </c>
      <c r="C3" t="s">
        <v>9</v>
      </c>
      <c r="D3" t="s">
        <v>10</v>
      </c>
      <c r="E3" s="2">
        <v>45667</v>
      </c>
      <c r="F3" t="s">
        <v>751</v>
      </c>
      <c r="G3" t="s">
        <v>752</v>
      </c>
      <c r="H3" t="s">
        <v>758</v>
      </c>
      <c r="I3" t="s">
        <v>759</v>
      </c>
      <c r="J3" t="s">
        <v>760</v>
      </c>
      <c r="K3" t="s">
        <v>761</v>
      </c>
      <c r="L3" s="2">
        <v>45670</v>
      </c>
    </row>
    <row r="4" spans="1:12" x14ac:dyDescent="0.35">
      <c r="A4" t="s">
        <v>762</v>
      </c>
      <c r="B4" t="s">
        <v>8</v>
      </c>
      <c r="C4" t="s">
        <v>9</v>
      </c>
      <c r="D4" t="s">
        <v>10</v>
      </c>
      <c r="E4" s="2">
        <v>45657</v>
      </c>
      <c r="F4" t="s">
        <v>763</v>
      </c>
      <c r="G4" t="s">
        <v>752</v>
      </c>
      <c r="H4" t="s">
        <v>764</v>
      </c>
      <c r="I4" t="s">
        <v>765</v>
      </c>
      <c r="J4" t="s">
        <v>755</v>
      </c>
      <c r="K4" t="s">
        <v>756</v>
      </c>
      <c r="L4" s="2">
        <v>45661</v>
      </c>
    </row>
    <row r="5" spans="1:12" x14ac:dyDescent="0.35">
      <c r="A5" t="s">
        <v>766</v>
      </c>
      <c r="B5" t="s">
        <v>8</v>
      </c>
      <c r="C5" t="s">
        <v>9</v>
      </c>
      <c r="D5" t="s">
        <v>10</v>
      </c>
      <c r="E5" s="2">
        <v>45651</v>
      </c>
      <c r="F5" t="s">
        <v>763</v>
      </c>
      <c r="G5" t="s">
        <v>767</v>
      </c>
      <c r="H5" t="s">
        <v>753</v>
      </c>
      <c r="I5" t="s">
        <v>768</v>
      </c>
      <c r="J5" t="s">
        <v>769</v>
      </c>
      <c r="K5" t="s">
        <v>761</v>
      </c>
      <c r="L5" s="2">
        <v>45655</v>
      </c>
    </row>
    <row r="6" spans="1:12" x14ac:dyDescent="0.35">
      <c r="A6" t="s">
        <v>770</v>
      </c>
      <c r="B6" t="s">
        <v>14</v>
      </c>
      <c r="C6" t="s">
        <v>15</v>
      </c>
      <c r="D6" t="s">
        <v>16</v>
      </c>
      <c r="E6" s="2">
        <v>45659</v>
      </c>
      <c r="F6" t="s">
        <v>763</v>
      </c>
      <c r="G6" t="s">
        <v>771</v>
      </c>
      <c r="H6" t="s">
        <v>764</v>
      </c>
      <c r="I6" t="s">
        <v>772</v>
      </c>
      <c r="J6" t="s">
        <v>755</v>
      </c>
      <c r="K6" t="s">
        <v>773</v>
      </c>
      <c r="L6" s="2">
        <v>45662</v>
      </c>
    </row>
    <row r="7" spans="1:12" x14ac:dyDescent="0.35">
      <c r="A7" t="s">
        <v>774</v>
      </c>
      <c r="B7" t="s">
        <v>14</v>
      </c>
      <c r="C7" t="s">
        <v>15</v>
      </c>
      <c r="D7" t="s">
        <v>16</v>
      </c>
      <c r="E7" s="2">
        <v>45667</v>
      </c>
      <c r="F7" t="s">
        <v>751</v>
      </c>
      <c r="G7" t="s">
        <v>767</v>
      </c>
      <c r="H7" t="s">
        <v>775</v>
      </c>
      <c r="I7" t="s">
        <v>768</v>
      </c>
      <c r="J7" t="s">
        <v>755</v>
      </c>
      <c r="K7" t="s">
        <v>776</v>
      </c>
      <c r="L7" s="2">
        <v>45672</v>
      </c>
    </row>
    <row r="8" spans="1:12" x14ac:dyDescent="0.35">
      <c r="A8" t="s">
        <v>777</v>
      </c>
      <c r="B8" t="s">
        <v>20</v>
      </c>
      <c r="C8" t="s">
        <v>21</v>
      </c>
      <c r="D8" t="s">
        <v>22</v>
      </c>
      <c r="E8" s="2">
        <v>45647</v>
      </c>
      <c r="F8" t="s">
        <v>5</v>
      </c>
      <c r="G8" t="s">
        <v>767</v>
      </c>
      <c r="H8" t="s">
        <v>753</v>
      </c>
      <c r="I8" t="s">
        <v>765</v>
      </c>
      <c r="J8" t="s">
        <v>760</v>
      </c>
      <c r="K8" t="s">
        <v>776</v>
      </c>
      <c r="L8" s="2">
        <v>45649</v>
      </c>
    </row>
    <row r="9" spans="1:12" x14ac:dyDescent="0.35">
      <c r="A9" t="s">
        <v>778</v>
      </c>
      <c r="B9" t="s">
        <v>20</v>
      </c>
      <c r="C9" t="s">
        <v>21</v>
      </c>
      <c r="D9" t="s">
        <v>22</v>
      </c>
      <c r="E9" s="2">
        <v>45642</v>
      </c>
      <c r="F9" t="s">
        <v>779</v>
      </c>
      <c r="G9" t="s">
        <v>771</v>
      </c>
      <c r="H9" t="s">
        <v>758</v>
      </c>
      <c r="I9" t="s">
        <v>765</v>
      </c>
      <c r="J9" t="s">
        <v>755</v>
      </c>
      <c r="K9" t="s">
        <v>773</v>
      </c>
      <c r="L9" s="2">
        <v>45645</v>
      </c>
    </row>
    <row r="10" spans="1:12" x14ac:dyDescent="0.35">
      <c r="A10" t="s">
        <v>780</v>
      </c>
      <c r="B10" t="s">
        <v>20</v>
      </c>
      <c r="C10" t="s">
        <v>21</v>
      </c>
      <c r="D10" t="s">
        <v>22</v>
      </c>
      <c r="E10" s="2">
        <v>45661</v>
      </c>
      <c r="F10" t="s">
        <v>751</v>
      </c>
      <c r="G10" t="s">
        <v>771</v>
      </c>
      <c r="H10" t="s">
        <v>758</v>
      </c>
      <c r="I10" t="s">
        <v>768</v>
      </c>
      <c r="J10" t="s">
        <v>755</v>
      </c>
      <c r="K10" t="s">
        <v>761</v>
      </c>
      <c r="L10" s="2">
        <v>45663</v>
      </c>
    </row>
    <row r="11" spans="1:12" x14ac:dyDescent="0.35">
      <c r="A11" t="s">
        <v>781</v>
      </c>
      <c r="B11" t="s">
        <v>20</v>
      </c>
      <c r="C11" t="s">
        <v>21</v>
      </c>
      <c r="D11" t="s">
        <v>22</v>
      </c>
      <c r="E11" s="2">
        <v>45643</v>
      </c>
      <c r="F11" t="s">
        <v>751</v>
      </c>
      <c r="G11" t="s">
        <v>771</v>
      </c>
      <c r="H11" t="s">
        <v>775</v>
      </c>
      <c r="I11" t="s">
        <v>782</v>
      </c>
      <c r="J11" t="s">
        <v>755</v>
      </c>
      <c r="K11" t="s">
        <v>761</v>
      </c>
      <c r="L11" s="2">
        <v>45648</v>
      </c>
    </row>
    <row r="12" spans="1:12" x14ac:dyDescent="0.35">
      <c r="A12" t="s">
        <v>783</v>
      </c>
      <c r="B12" t="s">
        <v>26</v>
      </c>
      <c r="C12" t="s">
        <v>27</v>
      </c>
      <c r="D12" t="s">
        <v>28</v>
      </c>
      <c r="E12" s="2">
        <v>45654</v>
      </c>
      <c r="F12" t="s">
        <v>751</v>
      </c>
      <c r="G12" t="s">
        <v>752</v>
      </c>
      <c r="H12" t="s">
        <v>784</v>
      </c>
      <c r="I12" t="s">
        <v>754</v>
      </c>
      <c r="J12" t="s">
        <v>760</v>
      </c>
      <c r="K12" t="s">
        <v>756</v>
      </c>
      <c r="L12" s="2">
        <v>45661</v>
      </c>
    </row>
    <row r="13" spans="1:12" x14ac:dyDescent="0.35">
      <c r="A13" t="s">
        <v>785</v>
      </c>
      <c r="B13" t="s">
        <v>32</v>
      </c>
      <c r="C13" t="s">
        <v>33</v>
      </c>
      <c r="D13" t="s">
        <v>34</v>
      </c>
      <c r="E13" s="2">
        <v>45653</v>
      </c>
      <c r="F13" t="s">
        <v>779</v>
      </c>
      <c r="G13" t="s">
        <v>771</v>
      </c>
      <c r="H13" t="s">
        <v>775</v>
      </c>
      <c r="I13" t="s">
        <v>772</v>
      </c>
      <c r="J13" t="s">
        <v>755</v>
      </c>
      <c r="K13" t="s">
        <v>756</v>
      </c>
      <c r="L13" s="2">
        <v>45659</v>
      </c>
    </row>
    <row r="14" spans="1:12" x14ac:dyDescent="0.35">
      <c r="A14" t="s">
        <v>786</v>
      </c>
      <c r="B14" t="s">
        <v>32</v>
      </c>
      <c r="C14" t="s">
        <v>33</v>
      </c>
      <c r="D14" t="s">
        <v>34</v>
      </c>
      <c r="E14" s="2">
        <v>45670</v>
      </c>
      <c r="F14" t="s">
        <v>779</v>
      </c>
      <c r="G14" t="s">
        <v>787</v>
      </c>
      <c r="H14" t="s">
        <v>753</v>
      </c>
      <c r="I14" t="s">
        <v>772</v>
      </c>
      <c r="J14" t="s">
        <v>760</v>
      </c>
      <c r="K14" t="s">
        <v>773</v>
      </c>
      <c r="L14" s="2">
        <v>45673</v>
      </c>
    </row>
    <row r="15" spans="1:12" x14ac:dyDescent="0.35">
      <c r="A15" t="s">
        <v>788</v>
      </c>
      <c r="B15" t="s">
        <v>37</v>
      </c>
      <c r="C15" t="s">
        <v>38</v>
      </c>
      <c r="D15" t="s">
        <v>39</v>
      </c>
      <c r="E15" s="2">
        <v>45660</v>
      </c>
      <c r="F15" t="s">
        <v>751</v>
      </c>
      <c r="G15" t="s">
        <v>787</v>
      </c>
      <c r="H15" t="s">
        <v>775</v>
      </c>
      <c r="I15" t="s">
        <v>754</v>
      </c>
      <c r="J15" t="s">
        <v>769</v>
      </c>
      <c r="K15" t="s">
        <v>773</v>
      </c>
      <c r="L15" s="2">
        <v>45667</v>
      </c>
    </row>
    <row r="16" spans="1:12" x14ac:dyDescent="0.35">
      <c r="A16" t="s">
        <v>789</v>
      </c>
      <c r="B16" t="s">
        <v>37</v>
      </c>
      <c r="C16" t="s">
        <v>38</v>
      </c>
      <c r="D16" t="s">
        <v>39</v>
      </c>
      <c r="E16" s="2">
        <v>45644</v>
      </c>
      <c r="F16" t="s">
        <v>763</v>
      </c>
      <c r="G16" t="s">
        <v>771</v>
      </c>
      <c r="H16" t="s">
        <v>758</v>
      </c>
      <c r="I16" t="s">
        <v>765</v>
      </c>
      <c r="J16" t="s">
        <v>760</v>
      </c>
      <c r="K16" t="s">
        <v>773</v>
      </c>
      <c r="L16" s="2">
        <v>45651</v>
      </c>
    </row>
    <row r="17" spans="1:12" x14ac:dyDescent="0.35">
      <c r="A17" t="s">
        <v>790</v>
      </c>
      <c r="B17" t="s">
        <v>37</v>
      </c>
      <c r="C17" t="s">
        <v>38</v>
      </c>
      <c r="D17" t="s">
        <v>39</v>
      </c>
      <c r="E17" s="2">
        <v>45664</v>
      </c>
      <c r="F17" t="s">
        <v>779</v>
      </c>
      <c r="G17" t="s">
        <v>771</v>
      </c>
      <c r="H17" t="s">
        <v>764</v>
      </c>
      <c r="I17" t="s">
        <v>754</v>
      </c>
      <c r="J17" t="s">
        <v>755</v>
      </c>
      <c r="K17" t="s">
        <v>761</v>
      </c>
      <c r="L17" s="2">
        <v>45670</v>
      </c>
    </row>
    <row r="18" spans="1:12" x14ac:dyDescent="0.35">
      <c r="A18" t="s">
        <v>791</v>
      </c>
      <c r="B18" t="s">
        <v>37</v>
      </c>
      <c r="C18" t="s">
        <v>38</v>
      </c>
      <c r="D18" t="s">
        <v>39</v>
      </c>
      <c r="E18" s="2">
        <v>45659</v>
      </c>
      <c r="F18" t="s">
        <v>5</v>
      </c>
      <c r="G18" t="s">
        <v>767</v>
      </c>
      <c r="H18" t="s">
        <v>775</v>
      </c>
      <c r="I18" t="s">
        <v>772</v>
      </c>
      <c r="J18" t="s">
        <v>769</v>
      </c>
      <c r="K18" t="s">
        <v>776</v>
      </c>
      <c r="L18" s="2">
        <v>45662</v>
      </c>
    </row>
    <row r="19" spans="1:12" x14ac:dyDescent="0.35">
      <c r="A19" t="s">
        <v>792</v>
      </c>
      <c r="B19" t="s">
        <v>42</v>
      </c>
      <c r="C19" t="s">
        <v>43</v>
      </c>
      <c r="D19" t="s">
        <v>44</v>
      </c>
      <c r="E19" s="2">
        <v>45670</v>
      </c>
      <c r="F19" t="s">
        <v>751</v>
      </c>
      <c r="G19" t="s">
        <v>771</v>
      </c>
      <c r="H19" t="s">
        <v>758</v>
      </c>
      <c r="I19" t="s">
        <v>782</v>
      </c>
      <c r="J19" t="s">
        <v>769</v>
      </c>
      <c r="K19" t="s">
        <v>756</v>
      </c>
      <c r="L19" s="2">
        <v>45676</v>
      </c>
    </row>
    <row r="20" spans="1:12" x14ac:dyDescent="0.35">
      <c r="A20" t="s">
        <v>793</v>
      </c>
      <c r="B20" t="s">
        <v>52</v>
      </c>
      <c r="C20" t="s">
        <v>53</v>
      </c>
      <c r="D20" t="s">
        <v>54</v>
      </c>
      <c r="E20" s="2">
        <v>45657</v>
      </c>
      <c r="F20" t="s">
        <v>779</v>
      </c>
      <c r="G20" t="s">
        <v>767</v>
      </c>
      <c r="H20" t="s">
        <v>753</v>
      </c>
      <c r="I20" t="s">
        <v>754</v>
      </c>
      <c r="J20" t="s">
        <v>760</v>
      </c>
      <c r="K20" t="s">
        <v>773</v>
      </c>
      <c r="L20" s="2">
        <v>45663</v>
      </c>
    </row>
    <row r="21" spans="1:12" x14ac:dyDescent="0.35">
      <c r="A21" t="s">
        <v>794</v>
      </c>
      <c r="B21" t="s">
        <v>57</v>
      </c>
      <c r="C21" t="s">
        <v>58</v>
      </c>
      <c r="D21" t="s">
        <v>59</v>
      </c>
      <c r="E21" s="2">
        <v>45647</v>
      </c>
      <c r="F21" t="s">
        <v>779</v>
      </c>
      <c r="G21" t="s">
        <v>767</v>
      </c>
      <c r="H21" t="s">
        <v>795</v>
      </c>
      <c r="I21" t="s">
        <v>782</v>
      </c>
      <c r="J21" t="s">
        <v>755</v>
      </c>
      <c r="K21" t="s">
        <v>776</v>
      </c>
      <c r="L21" s="2">
        <v>45653</v>
      </c>
    </row>
    <row r="22" spans="1:12" x14ac:dyDescent="0.35">
      <c r="A22" t="s">
        <v>796</v>
      </c>
      <c r="B22" t="s">
        <v>57</v>
      </c>
      <c r="C22" t="s">
        <v>58</v>
      </c>
      <c r="D22" t="s">
        <v>59</v>
      </c>
      <c r="E22" s="2">
        <v>45652</v>
      </c>
      <c r="F22" t="s">
        <v>763</v>
      </c>
      <c r="G22" t="s">
        <v>767</v>
      </c>
      <c r="H22" t="s">
        <v>795</v>
      </c>
      <c r="I22" t="s">
        <v>782</v>
      </c>
      <c r="J22" t="s">
        <v>755</v>
      </c>
      <c r="K22" t="s">
        <v>773</v>
      </c>
      <c r="L22" s="2">
        <v>45657</v>
      </c>
    </row>
    <row r="23" spans="1:12" x14ac:dyDescent="0.35">
      <c r="A23" t="s">
        <v>797</v>
      </c>
      <c r="B23" t="s">
        <v>62</v>
      </c>
      <c r="C23" t="s">
        <v>33</v>
      </c>
      <c r="D23" t="s">
        <v>63</v>
      </c>
      <c r="E23" s="2">
        <v>45663</v>
      </c>
      <c r="F23" t="s">
        <v>779</v>
      </c>
      <c r="G23" t="s">
        <v>767</v>
      </c>
      <c r="H23" t="s">
        <v>798</v>
      </c>
      <c r="I23" t="s">
        <v>765</v>
      </c>
      <c r="J23" t="s">
        <v>760</v>
      </c>
      <c r="K23" t="s">
        <v>756</v>
      </c>
      <c r="L23" s="2">
        <v>45667</v>
      </c>
    </row>
    <row r="24" spans="1:12" x14ac:dyDescent="0.35">
      <c r="A24" t="s">
        <v>799</v>
      </c>
      <c r="B24" t="s">
        <v>62</v>
      </c>
      <c r="C24" t="s">
        <v>33</v>
      </c>
      <c r="D24" t="s">
        <v>63</v>
      </c>
      <c r="E24" s="2">
        <v>45651</v>
      </c>
      <c r="F24" t="s">
        <v>751</v>
      </c>
      <c r="G24" t="s">
        <v>752</v>
      </c>
      <c r="H24" t="s">
        <v>798</v>
      </c>
      <c r="I24" t="s">
        <v>754</v>
      </c>
      <c r="J24" t="s">
        <v>769</v>
      </c>
      <c r="K24" t="s">
        <v>776</v>
      </c>
      <c r="L24" s="2">
        <v>45656</v>
      </c>
    </row>
    <row r="25" spans="1:12" x14ac:dyDescent="0.35">
      <c r="A25" t="s">
        <v>800</v>
      </c>
      <c r="B25" t="s">
        <v>62</v>
      </c>
      <c r="C25" t="s">
        <v>33</v>
      </c>
      <c r="D25" t="s">
        <v>63</v>
      </c>
      <c r="E25" s="2">
        <v>45666</v>
      </c>
      <c r="F25" t="s">
        <v>751</v>
      </c>
      <c r="G25" t="s">
        <v>767</v>
      </c>
      <c r="H25" t="s">
        <v>801</v>
      </c>
      <c r="I25" t="s">
        <v>772</v>
      </c>
      <c r="J25" t="s">
        <v>755</v>
      </c>
      <c r="K25" t="s">
        <v>773</v>
      </c>
      <c r="L25" s="2">
        <v>45671</v>
      </c>
    </row>
    <row r="26" spans="1:12" x14ac:dyDescent="0.35">
      <c r="A26" t="s">
        <v>802</v>
      </c>
      <c r="B26" t="s">
        <v>66</v>
      </c>
      <c r="C26" t="s">
        <v>67</v>
      </c>
      <c r="D26" t="s">
        <v>68</v>
      </c>
      <c r="E26" s="2">
        <v>45654</v>
      </c>
      <c r="F26" t="s">
        <v>751</v>
      </c>
      <c r="G26" t="s">
        <v>787</v>
      </c>
      <c r="H26" t="s">
        <v>803</v>
      </c>
      <c r="I26" t="s">
        <v>754</v>
      </c>
      <c r="J26" t="s">
        <v>769</v>
      </c>
      <c r="K26" t="s">
        <v>776</v>
      </c>
      <c r="L26" s="2">
        <v>45657</v>
      </c>
    </row>
    <row r="27" spans="1:12" x14ac:dyDescent="0.35">
      <c r="A27" t="s">
        <v>804</v>
      </c>
      <c r="B27" t="s">
        <v>71</v>
      </c>
      <c r="C27" t="s">
        <v>43</v>
      </c>
      <c r="D27" t="s">
        <v>72</v>
      </c>
      <c r="E27" s="2">
        <v>45651</v>
      </c>
      <c r="F27" t="s">
        <v>779</v>
      </c>
      <c r="G27" t="s">
        <v>787</v>
      </c>
      <c r="H27" t="s">
        <v>805</v>
      </c>
      <c r="I27" t="s">
        <v>759</v>
      </c>
      <c r="J27" t="s">
        <v>755</v>
      </c>
      <c r="K27" t="s">
        <v>773</v>
      </c>
      <c r="L27" s="2">
        <v>45653</v>
      </c>
    </row>
    <row r="28" spans="1:12" x14ac:dyDescent="0.35">
      <c r="A28" t="s">
        <v>806</v>
      </c>
      <c r="B28" t="s">
        <v>71</v>
      </c>
      <c r="C28" t="s">
        <v>43</v>
      </c>
      <c r="D28" t="s">
        <v>72</v>
      </c>
      <c r="E28" s="2">
        <v>45663</v>
      </c>
      <c r="F28" t="s">
        <v>751</v>
      </c>
      <c r="G28" t="s">
        <v>771</v>
      </c>
      <c r="H28" t="s">
        <v>784</v>
      </c>
      <c r="I28" t="s">
        <v>782</v>
      </c>
      <c r="J28" t="s">
        <v>755</v>
      </c>
      <c r="K28" t="s">
        <v>773</v>
      </c>
      <c r="L28" s="2">
        <v>45668</v>
      </c>
    </row>
    <row r="29" spans="1:12" x14ac:dyDescent="0.35">
      <c r="A29" t="s">
        <v>807</v>
      </c>
      <c r="B29" t="s">
        <v>71</v>
      </c>
      <c r="C29" t="s">
        <v>43</v>
      </c>
      <c r="D29" t="s">
        <v>72</v>
      </c>
      <c r="E29" s="2">
        <v>45665</v>
      </c>
      <c r="F29" t="s">
        <v>763</v>
      </c>
      <c r="G29" t="s">
        <v>752</v>
      </c>
      <c r="H29" t="s">
        <v>784</v>
      </c>
      <c r="I29" t="s">
        <v>782</v>
      </c>
      <c r="J29" t="s">
        <v>769</v>
      </c>
      <c r="K29" t="s">
        <v>756</v>
      </c>
      <c r="L29" s="2">
        <v>45672</v>
      </c>
    </row>
    <row r="30" spans="1:12" x14ac:dyDescent="0.35">
      <c r="A30" t="s">
        <v>808</v>
      </c>
      <c r="B30" t="s">
        <v>75</v>
      </c>
      <c r="C30" t="s">
        <v>76</v>
      </c>
      <c r="D30" t="s">
        <v>77</v>
      </c>
      <c r="E30" s="2">
        <v>45642</v>
      </c>
      <c r="F30" t="s">
        <v>5</v>
      </c>
      <c r="G30" t="s">
        <v>767</v>
      </c>
      <c r="H30" t="s">
        <v>775</v>
      </c>
      <c r="I30" t="s">
        <v>782</v>
      </c>
      <c r="J30" t="s">
        <v>755</v>
      </c>
      <c r="K30" t="s">
        <v>776</v>
      </c>
      <c r="L30" s="2">
        <v>45646</v>
      </c>
    </row>
    <row r="31" spans="1:12" x14ac:dyDescent="0.35">
      <c r="A31" t="s">
        <v>809</v>
      </c>
      <c r="B31" t="s">
        <v>75</v>
      </c>
      <c r="C31" t="s">
        <v>76</v>
      </c>
      <c r="D31" t="s">
        <v>77</v>
      </c>
      <c r="E31" s="2">
        <v>45659</v>
      </c>
      <c r="F31" t="s">
        <v>751</v>
      </c>
      <c r="G31" t="s">
        <v>752</v>
      </c>
      <c r="H31" t="s">
        <v>764</v>
      </c>
      <c r="I31" t="s">
        <v>772</v>
      </c>
      <c r="J31" t="s">
        <v>760</v>
      </c>
      <c r="K31" t="s">
        <v>761</v>
      </c>
      <c r="L31" s="2">
        <v>45664</v>
      </c>
    </row>
    <row r="32" spans="1:12" x14ac:dyDescent="0.35">
      <c r="A32" t="s">
        <v>810</v>
      </c>
      <c r="B32" t="s">
        <v>75</v>
      </c>
      <c r="C32" t="s">
        <v>76</v>
      </c>
      <c r="D32" t="s">
        <v>77</v>
      </c>
      <c r="E32" s="2">
        <v>45668</v>
      </c>
      <c r="F32" t="s">
        <v>751</v>
      </c>
      <c r="G32" t="s">
        <v>752</v>
      </c>
      <c r="H32" t="s">
        <v>758</v>
      </c>
      <c r="I32" t="s">
        <v>772</v>
      </c>
      <c r="J32" t="s">
        <v>760</v>
      </c>
      <c r="K32" t="s">
        <v>761</v>
      </c>
      <c r="L32" s="2">
        <v>45670</v>
      </c>
    </row>
    <row r="33" spans="1:12" x14ac:dyDescent="0.35">
      <c r="A33" t="s">
        <v>811</v>
      </c>
      <c r="B33" t="s">
        <v>75</v>
      </c>
      <c r="C33" t="s">
        <v>76</v>
      </c>
      <c r="D33" t="s">
        <v>77</v>
      </c>
      <c r="E33" s="2">
        <v>45653</v>
      </c>
      <c r="F33" t="s">
        <v>5</v>
      </c>
      <c r="G33" t="s">
        <v>767</v>
      </c>
      <c r="H33" t="s">
        <v>753</v>
      </c>
      <c r="I33" t="s">
        <v>772</v>
      </c>
      <c r="J33" t="s">
        <v>755</v>
      </c>
      <c r="K33" t="s">
        <v>761</v>
      </c>
      <c r="L33" s="2">
        <v>45657</v>
      </c>
    </row>
    <row r="34" spans="1:12" x14ac:dyDescent="0.35">
      <c r="A34" t="s">
        <v>812</v>
      </c>
      <c r="B34" t="s">
        <v>80</v>
      </c>
      <c r="C34" t="s">
        <v>81</v>
      </c>
      <c r="D34" t="s">
        <v>82</v>
      </c>
      <c r="E34" s="2">
        <v>45665</v>
      </c>
      <c r="F34" t="s">
        <v>763</v>
      </c>
      <c r="G34" t="s">
        <v>767</v>
      </c>
      <c r="H34" t="s">
        <v>775</v>
      </c>
      <c r="I34" t="s">
        <v>765</v>
      </c>
      <c r="J34" t="s">
        <v>769</v>
      </c>
      <c r="K34" t="s">
        <v>761</v>
      </c>
      <c r="L34" s="2">
        <v>45671</v>
      </c>
    </row>
    <row r="35" spans="1:12" x14ac:dyDescent="0.35">
      <c r="A35" t="s">
        <v>813</v>
      </c>
      <c r="B35" t="s">
        <v>80</v>
      </c>
      <c r="C35" t="s">
        <v>81</v>
      </c>
      <c r="D35" t="s">
        <v>82</v>
      </c>
      <c r="E35" s="2">
        <v>45651</v>
      </c>
      <c r="F35" t="s">
        <v>763</v>
      </c>
      <c r="G35" t="s">
        <v>752</v>
      </c>
      <c r="H35" t="s">
        <v>775</v>
      </c>
      <c r="I35" t="s">
        <v>768</v>
      </c>
      <c r="J35" t="s">
        <v>755</v>
      </c>
      <c r="K35" t="s">
        <v>761</v>
      </c>
      <c r="L35" s="2">
        <v>45656</v>
      </c>
    </row>
    <row r="36" spans="1:12" x14ac:dyDescent="0.35">
      <c r="A36" t="s">
        <v>814</v>
      </c>
      <c r="B36" t="s">
        <v>85</v>
      </c>
      <c r="C36" t="s">
        <v>43</v>
      </c>
      <c r="D36" t="s">
        <v>77</v>
      </c>
      <c r="E36" s="2">
        <v>45648</v>
      </c>
      <c r="F36" t="s">
        <v>763</v>
      </c>
      <c r="G36" t="s">
        <v>767</v>
      </c>
      <c r="H36" t="s">
        <v>801</v>
      </c>
      <c r="I36" t="s">
        <v>768</v>
      </c>
      <c r="J36" t="s">
        <v>755</v>
      </c>
      <c r="K36" t="s">
        <v>761</v>
      </c>
      <c r="L36" s="2">
        <v>45651</v>
      </c>
    </row>
    <row r="37" spans="1:12" x14ac:dyDescent="0.35">
      <c r="A37" t="s">
        <v>815</v>
      </c>
      <c r="B37" t="s">
        <v>85</v>
      </c>
      <c r="C37" t="s">
        <v>43</v>
      </c>
      <c r="D37" t="s">
        <v>77</v>
      </c>
      <c r="E37" s="2">
        <v>45642</v>
      </c>
      <c r="F37" t="s">
        <v>779</v>
      </c>
      <c r="G37" t="s">
        <v>771</v>
      </c>
      <c r="H37" t="s">
        <v>784</v>
      </c>
      <c r="I37" t="s">
        <v>768</v>
      </c>
      <c r="J37" t="s">
        <v>769</v>
      </c>
      <c r="K37" t="s">
        <v>756</v>
      </c>
      <c r="L37" s="2">
        <v>45647</v>
      </c>
    </row>
    <row r="38" spans="1:12" x14ac:dyDescent="0.35">
      <c r="A38" t="s">
        <v>816</v>
      </c>
      <c r="B38" t="s">
        <v>87</v>
      </c>
      <c r="C38" t="s">
        <v>48</v>
      </c>
      <c r="D38" t="s">
        <v>44</v>
      </c>
      <c r="E38" s="2">
        <v>45645</v>
      </c>
      <c r="F38" t="s">
        <v>5</v>
      </c>
      <c r="G38" t="s">
        <v>771</v>
      </c>
      <c r="H38" t="s">
        <v>803</v>
      </c>
      <c r="I38" t="s">
        <v>759</v>
      </c>
      <c r="J38" t="s">
        <v>769</v>
      </c>
      <c r="K38" t="s">
        <v>761</v>
      </c>
      <c r="L38" s="2">
        <v>45649</v>
      </c>
    </row>
    <row r="39" spans="1:12" x14ac:dyDescent="0.35">
      <c r="A39" t="s">
        <v>817</v>
      </c>
      <c r="B39" t="s">
        <v>87</v>
      </c>
      <c r="C39" t="s">
        <v>48</v>
      </c>
      <c r="D39" t="s">
        <v>44</v>
      </c>
      <c r="E39" s="2">
        <v>45670</v>
      </c>
      <c r="F39" t="s">
        <v>751</v>
      </c>
      <c r="G39" t="s">
        <v>787</v>
      </c>
      <c r="H39" t="s">
        <v>818</v>
      </c>
      <c r="I39" t="s">
        <v>759</v>
      </c>
      <c r="J39" t="s">
        <v>755</v>
      </c>
      <c r="K39" t="s">
        <v>761</v>
      </c>
      <c r="L39" s="2">
        <v>45672</v>
      </c>
    </row>
    <row r="40" spans="1:12" x14ac:dyDescent="0.35">
      <c r="A40" t="s">
        <v>819</v>
      </c>
      <c r="B40" t="s">
        <v>89</v>
      </c>
      <c r="C40" t="s">
        <v>90</v>
      </c>
      <c r="D40" t="s">
        <v>91</v>
      </c>
      <c r="E40" s="2">
        <v>45655</v>
      </c>
      <c r="F40" t="s">
        <v>763</v>
      </c>
      <c r="G40" t="s">
        <v>752</v>
      </c>
      <c r="H40" t="s">
        <v>753</v>
      </c>
      <c r="I40" t="s">
        <v>765</v>
      </c>
      <c r="J40" t="s">
        <v>755</v>
      </c>
      <c r="K40" t="s">
        <v>761</v>
      </c>
      <c r="L40" s="2">
        <v>45658</v>
      </c>
    </row>
    <row r="41" spans="1:12" x14ac:dyDescent="0.35">
      <c r="A41" t="s">
        <v>820</v>
      </c>
      <c r="B41" t="s">
        <v>94</v>
      </c>
      <c r="C41" t="s">
        <v>9</v>
      </c>
      <c r="D41" t="s">
        <v>95</v>
      </c>
      <c r="E41" s="2">
        <v>45642</v>
      </c>
      <c r="F41" t="s">
        <v>779</v>
      </c>
      <c r="G41" t="s">
        <v>767</v>
      </c>
      <c r="H41" t="s">
        <v>803</v>
      </c>
      <c r="I41" t="s">
        <v>782</v>
      </c>
      <c r="J41" t="s">
        <v>755</v>
      </c>
      <c r="K41" t="s">
        <v>776</v>
      </c>
      <c r="L41" s="2">
        <v>45646</v>
      </c>
    </row>
    <row r="42" spans="1:12" x14ac:dyDescent="0.35">
      <c r="A42" t="s">
        <v>821</v>
      </c>
      <c r="B42" t="s">
        <v>98</v>
      </c>
      <c r="C42" t="s">
        <v>99</v>
      </c>
      <c r="D42" t="s">
        <v>16</v>
      </c>
      <c r="E42" s="2">
        <v>45646</v>
      </c>
      <c r="F42" t="s">
        <v>751</v>
      </c>
      <c r="G42" t="s">
        <v>771</v>
      </c>
      <c r="H42" t="s">
        <v>764</v>
      </c>
      <c r="I42" t="s">
        <v>754</v>
      </c>
      <c r="J42" t="s">
        <v>760</v>
      </c>
      <c r="K42" t="s">
        <v>773</v>
      </c>
      <c r="L42" s="2">
        <v>45653</v>
      </c>
    </row>
    <row r="43" spans="1:12" x14ac:dyDescent="0.35">
      <c r="A43" t="s">
        <v>822</v>
      </c>
      <c r="B43" t="s">
        <v>98</v>
      </c>
      <c r="C43" t="s">
        <v>99</v>
      </c>
      <c r="D43" t="s">
        <v>16</v>
      </c>
      <c r="E43" s="2">
        <v>45664</v>
      </c>
      <c r="F43" t="s">
        <v>763</v>
      </c>
      <c r="G43" t="s">
        <v>771</v>
      </c>
      <c r="H43" t="s">
        <v>753</v>
      </c>
      <c r="I43" t="s">
        <v>759</v>
      </c>
      <c r="J43" t="s">
        <v>760</v>
      </c>
      <c r="K43" t="s">
        <v>761</v>
      </c>
      <c r="L43" s="2">
        <v>45669</v>
      </c>
    </row>
    <row r="44" spans="1:12" x14ac:dyDescent="0.35">
      <c r="A44" t="s">
        <v>823</v>
      </c>
      <c r="B44" t="s">
        <v>98</v>
      </c>
      <c r="C44" t="s">
        <v>99</v>
      </c>
      <c r="D44" t="s">
        <v>16</v>
      </c>
      <c r="E44" s="2">
        <v>45654</v>
      </c>
      <c r="F44" t="s">
        <v>751</v>
      </c>
      <c r="G44" t="s">
        <v>771</v>
      </c>
      <c r="H44" t="s">
        <v>753</v>
      </c>
      <c r="I44" t="s">
        <v>768</v>
      </c>
      <c r="J44" t="s">
        <v>769</v>
      </c>
      <c r="K44" t="s">
        <v>756</v>
      </c>
      <c r="L44" s="2">
        <v>45659</v>
      </c>
    </row>
    <row r="45" spans="1:12" x14ac:dyDescent="0.35">
      <c r="A45" t="s">
        <v>824</v>
      </c>
      <c r="B45" t="s">
        <v>101</v>
      </c>
      <c r="C45" t="s">
        <v>38</v>
      </c>
      <c r="D45" t="s">
        <v>102</v>
      </c>
      <c r="E45" s="2">
        <v>45651</v>
      </c>
      <c r="F45" t="s">
        <v>763</v>
      </c>
      <c r="G45" t="s">
        <v>771</v>
      </c>
      <c r="H45" t="s">
        <v>818</v>
      </c>
      <c r="I45" t="s">
        <v>782</v>
      </c>
      <c r="J45" t="s">
        <v>769</v>
      </c>
      <c r="K45" t="s">
        <v>761</v>
      </c>
      <c r="L45" s="2">
        <v>45655</v>
      </c>
    </row>
    <row r="46" spans="1:12" x14ac:dyDescent="0.35">
      <c r="A46" t="s">
        <v>825</v>
      </c>
      <c r="B46" t="s">
        <v>101</v>
      </c>
      <c r="C46" t="s">
        <v>38</v>
      </c>
      <c r="D46" t="s">
        <v>102</v>
      </c>
      <c r="E46" s="2">
        <v>45670</v>
      </c>
      <c r="F46" t="s">
        <v>779</v>
      </c>
      <c r="G46" t="s">
        <v>752</v>
      </c>
      <c r="H46" t="s">
        <v>818</v>
      </c>
      <c r="I46" t="s">
        <v>782</v>
      </c>
      <c r="J46" t="s">
        <v>760</v>
      </c>
      <c r="K46" t="s">
        <v>756</v>
      </c>
      <c r="L46" s="2">
        <v>45673</v>
      </c>
    </row>
    <row r="47" spans="1:12" x14ac:dyDescent="0.35">
      <c r="A47" t="s">
        <v>826</v>
      </c>
      <c r="B47" t="s">
        <v>101</v>
      </c>
      <c r="C47" t="s">
        <v>38</v>
      </c>
      <c r="D47" t="s">
        <v>102</v>
      </c>
      <c r="E47" s="2">
        <v>45653</v>
      </c>
      <c r="F47" t="s">
        <v>5</v>
      </c>
      <c r="G47" t="s">
        <v>787</v>
      </c>
      <c r="H47" t="s">
        <v>818</v>
      </c>
      <c r="I47" t="s">
        <v>772</v>
      </c>
      <c r="J47" t="s">
        <v>769</v>
      </c>
      <c r="K47" t="s">
        <v>773</v>
      </c>
      <c r="L47" s="2">
        <v>45659</v>
      </c>
    </row>
    <row r="48" spans="1:12" x14ac:dyDescent="0.35">
      <c r="A48" t="s">
        <v>827</v>
      </c>
      <c r="B48" t="s">
        <v>101</v>
      </c>
      <c r="C48" t="s">
        <v>38</v>
      </c>
      <c r="D48" t="s">
        <v>102</v>
      </c>
      <c r="E48" s="2">
        <v>45645</v>
      </c>
      <c r="F48" t="s">
        <v>751</v>
      </c>
      <c r="G48" t="s">
        <v>752</v>
      </c>
      <c r="H48" t="s">
        <v>828</v>
      </c>
      <c r="I48" t="s">
        <v>768</v>
      </c>
      <c r="J48" t="s">
        <v>769</v>
      </c>
      <c r="K48" t="s">
        <v>756</v>
      </c>
      <c r="L48" s="2">
        <v>45651</v>
      </c>
    </row>
    <row r="49" spans="1:12" x14ac:dyDescent="0.35">
      <c r="A49" t="s">
        <v>829</v>
      </c>
      <c r="B49" t="s">
        <v>105</v>
      </c>
      <c r="C49" t="s">
        <v>81</v>
      </c>
      <c r="D49" t="s">
        <v>106</v>
      </c>
      <c r="E49" s="2">
        <v>45670</v>
      </c>
      <c r="F49" t="s">
        <v>779</v>
      </c>
      <c r="G49" t="s">
        <v>787</v>
      </c>
      <c r="H49" t="s">
        <v>803</v>
      </c>
      <c r="I49" t="s">
        <v>759</v>
      </c>
      <c r="J49" t="s">
        <v>760</v>
      </c>
      <c r="K49" t="s">
        <v>761</v>
      </c>
      <c r="L49" s="2">
        <v>45674</v>
      </c>
    </row>
    <row r="50" spans="1:12" x14ac:dyDescent="0.35">
      <c r="A50" t="s">
        <v>830</v>
      </c>
      <c r="B50" t="s">
        <v>105</v>
      </c>
      <c r="C50" t="s">
        <v>81</v>
      </c>
      <c r="D50" t="s">
        <v>106</v>
      </c>
      <c r="E50" s="2">
        <v>45671</v>
      </c>
      <c r="F50" t="s">
        <v>763</v>
      </c>
      <c r="G50" t="s">
        <v>787</v>
      </c>
      <c r="H50" t="s">
        <v>828</v>
      </c>
      <c r="I50" t="s">
        <v>782</v>
      </c>
      <c r="J50" t="s">
        <v>760</v>
      </c>
      <c r="K50" t="s">
        <v>761</v>
      </c>
      <c r="L50" s="2">
        <v>45676</v>
      </c>
    </row>
    <row r="51" spans="1:12" x14ac:dyDescent="0.35">
      <c r="A51" t="s">
        <v>831</v>
      </c>
      <c r="B51" t="s">
        <v>105</v>
      </c>
      <c r="C51" t="s">
        <v>81</v>
      </c>
      <c r="D51" t="s">
        <v>106</v>
      </c>
      <c r="E51" s="2">
        <v>45666</v>
      </c>
      <c r="F51" t="s">
        <v>751</v>
      </c>
      <c r="G51" t="s">
        <v>771</v>
      </c>
      <c r="H51" t="s">
        <v>795</v>
      </c>
      <c r="I51" t="s">
        <v>782</v>
      </c>
      <c r="J51" t="s">
        <v>755</v>
      </c>
      <c r="K51" t="s">
        <v>756</v>
      </c>
      <c r="L51" s="2">
        <v>45668</v>
      </c>
    </row>
    <row r="52" spans="1:12" x14ac:dyDescent="0.35">
      <c r="A52" t="s">
        <v>832</v>
      </c>
      <c r="B52" t="s">
        <v>109</v>
      </c>
      <c r="C52" t="s">
        <v>21</v>
      </c>
      <c r="D52" t="s">
        <v>63</v>
      </c>
      <c r="E52" s="2">
        <v>45667</v>
      </c>
      <c r="F52" t="s">
        <v>751</v>
      </c>
      <c r="G52" t="s">
        <v>767</v>
      </c>
      <c r="H52" t="s">
        <v>775</v>
      </c>
      <c r="I52" t="s">
        <v>772</v>
      </c>
      <c r="J52" t="s">
        <v>760</v>
      </c>
      <c r="K52" t="s">
        <v>756</v>
      </c>
      <c r="L52" s="2">
        <v>45669</v>
      </c>
    </row>
    <row r="53" spans="1:12" x14ac:dyDescent="0.35">
      <c r="A53" t="s">
        <v>833</v>
      </c>
      <c r="B53" t="s">
        <v>109</v>
      </c>
      <c r="C53" t="s">
        <v>21</v>
      </c>
      <c r="D53" t="s">
        <v>63</v>
      </c>
      <c r="E53" s="2">
        <v>45671</v>
      </c>
      <c r="F53" t="s">
        <v>763</v>
      </c>
      <c r="G53" t="s">
        <v>787</v>
      </c>
      <c r="H53" t="s">
        <v>764</v>
      </c>
      <c r="I53" t="s">
        <v>772</v>
      </c>
      <c r="J53" t="s">
        <v>769</v>
      </c>
      <c r="K53" t="s">
        <v>773</v>
      </c>
      <c r="L53" s="2">
        <v>45673</v>
      </c>
    </row>
    <row r="54" spans="1:12" x14ac:dyDescent="0.35">
      <c r="A54" t="s">
        <v>834</v>
      </c>
      <c r="B54" t="s">
        <v>109</v>
      </c>
      <c r="C54" t="s">
        <v>21</v>
      </c>
      <c r="D54" t="s">
        <v>63</v>
      </c>
      <c r="E54" s="2">
        <v>45666</v>
      </c>
      <c r="F54" t="s">
        <v>751</v>
      </c>
      <c r="G54" t="s">
        <v>787</v>
      </c>
      <c r="H54" t="s">
        <v>775</v>
      </c>
      <c r="I54" t="s">
        <v>759</v>
      </c>
      <c r="J54" t="s">
        <v>769</v>
      </c>
      <c r="K54" t="s">
        <v>756</v>
      </c>
      <c r="L54" s="2">
        <v>45670</v>
      </c>
    </row>
    <row r="55" spans="1:12" x14ac:dyDescent="0.35">
      <c r="A55" t="s">
        <v>835</v>
      </c>
      <c r="B55" t="s">
        <v>111</v>
      </c>
      <c r="C55" t="s">
        <v>112</v>
      </c>
      <c r="D55" t="s">
        <v>113</v>
      </c>
      <c r="E55" s="2">
        <v>45652</v>
      </c>
      <c r="F55" t="s">
        <v>763</v>
      </c>
      <c r="G55" t="s">
        <v>787</v>
      </c>
      <c r="H55" t="s">
        <v>753</v>
      </c>
      <c r="I55" t="s">
        <v>772</v>
      </c>
      <c r="J55" t="s">
        <v>760</v>
      </c>
      <c r="K55" t="s">
        <v>761</v>
      </c>
      <c r="L55" s="2">
        <v>45654</v>
      </c>
    </row>
    <row r="56" spans="1:12" x14ac:dyDescent="0.35">
      <c r="A56" t="s">
        <v>836</v>
      </c>
      <c r="B56" t="s">
        <v>116</v>
      </c>
      <c r="C56" t="s">
        <v>76</v>
      </c>
      <c r="D56" t="s">
        <v>117</v>
      </c>
      <c r="E56" s="2">
        <v>45653</v>
      </c>
      <c r="F56" t="s">
        <v>5</v>
      </c>
      <c r="G56" t="s">
        <v>787</v>
      </c>
      <c r="H56" t="s">
        <v>758</v>
      </c>
      <c r="I56" t="s">
        <v>782</v>
      </c>
      <c r="J56" t="s">
        <v>760</v>
      </c>
      <c r="K56" t="s">
        <v>776</v>
      </c>
      <c r="L56" s="2">
        <v>45657</v>
      </c>
    </row>
    <row r="57" spans="1:12" x14ac:dyDescent="0.35">
      <c r="A57" t="s">
        <v>837</v>
      </c>
      <c r="B57" t="s">
        <v>116</v>
      </c>
      <c r="C57" t="s">
        <v>76</v>
      </c>
      <c r="D57" t="s">
        <v>117</v>
      </c>
      <c r="E57" s="2">
        <v>45656</v>
      </c>
      <c r="F57" t="s">
        <v>5</v>
      </c>
      <c r="G57" t="s">
        <v>771</v>
      </c>
      <c r="H57" t="s">
        <v>758</v>
      </c>
      <c r="I57" t="s">
        <v>754</v>
      </c>
      <c r="J57" t="s">
        <v>760</v>
      </c>
      <c r="K57" t="s">
        <v>761</v>
      </c>
      <c r="L57" s="2">
        <v>45660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/>
  </sheetViews>
  <sheetFormatPr defaultRowHeight="14.5" x14ac:dyDescent="0.35"/>
  <sheetData>
    <row r="1" spans="1:2" x14ac:dyDescent="0.35">
      <c r="A1" s="1" t="s">
        <v>838</v>
      </c>
      <c r="B1" s="1" t="s">
        <v>839</v>
      </c>
    </row>
    <row r="2" spans="1:2" x14ac:dyDescent="0.35">
      <c r="A2" t="s">
        <v>840</v>
      </c>
      <c r="B2">
        <v>25</v>
      </c>
    </row>
    <row r="3" spans="1:2" x14ac:dyDescent="0.35">
      <c r="A3" t="s">
        <v>841</v>
      </c>
      <c r="B3">
        <v>25</v>
      </c>
    </row>
    <row r="4" spans="1:2" x14ac:dyDescent="0.35">
      <c r="A4" t="s">
        <v>842</v>
      </c>
      <c r="B4">
        <v>119</v>
      </c>
    </row>
    <row r="5" spans="1:2" x14ac:dyDescent="0.35">
      <c r="A5" t="s">
        <v>843</v>
      </c>
      <c r="B5">
        <v>2482101.62</v>
      </c>
    </row>
    <row r="6" spans="1:2" x14ac:dyDescent="0.35">
      <c r="A6" t="s">
        <v>844</v>
      </c>
      <c r="B6">
        <v>41.5</v>
      </c>
    </row>
    <row r="7" spans="1:2" x14ac:dyDescent="0.35">
      <c r="A7" t="s">
        <v>845</v>
      </c>
      <c r="B7">
        <v>20</v>
      </c>
    </row>
    <row r="8" spans="1:2" x14ac:dyDescent="0.35">
      <c r="A8" t="s">
        <v>846</v>
      </c>
      <c r="B8" t="s">
        <v>847</v>
      </c>
    </row>
    <row r="9" spans="1:2" x14ac:dyDescent="0.35">
      <c r="A9" t="s">
        <v>848</v>
      </c>
      <c r="B9">
        <v>49671.14</v>
      </c>
    </row>
    <row r="10" spans="1:2" x14ac:dyDescent="0.35">
      <c r="A10" t="s">
        <v>849</v>
      </c>
      <c r="B10">
        <v>8</v>
      </c>
    </row>
    <row r="11" spans="1:2" x14ac:dyDescent="0.35">
      <c r="A11" t="s">
        <v>850</v>
      </c>
      <c r="B11">
        <v>1407607.32</v>
      </c>
    </row>
    <row r="12" spans="1:2" x14ac:dyDescent="0.35">
      <c r="A12" t="s">
        <v>851</v>
      </c>
      <c r="B12" t="s">
        <v>852</v>
      </c>
    </row>
    <row r="13" spans="1:2" x14ac:dyDescent="0.35">
      <c r="A13" t="s">
        <v>853</v>
      </c>
      <c r="B13" t="s">
        <v>854</v>
      </c>
    </row>
    <row r="14" spans="1:2" x14ac:dyDescent="0.35">
      <c r="A14" t="s">
        <v>855</v>
      </c>
      <c r="B14" t="s">
        <v>856</v>
      </c>
    </row>
    <row r="15" spans="1:2" x14ac:dyDescent="0.35">
      <c r="A15" t="s">
        <v>857</v>
      </c>
      <c r="B15" t="s">
        <v>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859</v>
      </c>
      <c r="D1" s="1" t="s">
        <v>860</v>
      </c>
      <c r="E1" s="1" t="s">
        <v>861</v>
      </c>
      <c r="F1" s="1" t="s">
        <v>862</v>
      </c>
      <c r="G1" s="1" t="s">
        <v>863</v>
      </c>
    </row>
    <row r="2" spans="1:7" x14ac:dyDescent="0.35">
      <c r="A2" t="s">
        <v>8</v>
      </c>
      <c r="B2" t="s">
        <v>9</v>
      </c>
      <c r="C2">
        <v>135223.82999999999</v>
      </c>
      <c r="D2">
        <v>66344.08</v>
      </c>
      <c r="E2">
        <v>68879.760000000009</v>
      </c>
      <c r="F2">
        <v>-9.9999999947613105E-3</v>
      </c>
      <c r="G2" t="s">
        <v>400</v>
      </c>
    </row>
    <row r="3" spans="1:7" x14ac:dyDescent="0.35">
      <c r="A3" t="s">
        <v>14</v>
      </c>
      <c r="B3" t="s">
        <v>15</v>
      </c>
      <c r="C3">
        <v>209226.63</v>
      </c>
      <c r="D3">
        <v>44332.78</v>
      </c>
      <c r="E3">
        <v>164893.85</v>
      </c>
      <c r="F3">
        <v>0</v>
      </c>
      <c r="G3" t="s">
        <v>400</v>
      </c>
    </row>
    <row r="4" spans="1:7" x14ac:dyDescent="0.35">
      <c r="A4" t="s">
        <v>20</v>
      </c>
      <c r="B4" t="s">
        <v>21</v>
      </c>
      <c r="C4">
        <v>43202.97</v>
      </c>
      <c r="D4">
        <v>27020.84</v>
      </c>
      <c r="E4">
        <v>16182.13</v>
      </c>
      <c r="F4">
        <v>-1.8189894035458561E-12</v>
      </c>
      <c r="G4" t="s">
        <v>400</v>
      </c>
    </row>
    <row r="5" spans="1:7" x14ac:dyDescent="0.35">
      <c r="A5" t="s">
        <v>26</v>
      </c>
      <c r="B5" t="s">
        <v>27</v>
      </c>
      <c r="C5">
        <v>142256.54999999999</v>
      </c>
      <c r="D5">
        <v>28802.33</v>
      </c>
      <c r="E5">
        <v>113454.22</v>
      </c>
      <c r="F5">
        <v>-1.455191522836685E-11</v>
      </c>
      <c r="G5" t="s">
        <v>400</v>
      </c>
    </row>
    <row r="6" spans="1:7" x14ac:dyDescent="0.35">
      <c r="A6" t="s">
        <v>32</v>
      </c>
      <c r="B6" t="s">
        <v>33</v>
      </c>
      <c r="C6">
        <v>134230.79999999999</v>
      </c>
      <c r="D6">
        <v>21702.9</v>
      </c>
      <c r="E6">
        <v>112527.91</v>
      </c>
      <c r="F6">
        <v>-1.0000000009313229E-2</v>
      </c>
      <c r="G6" t="s">
        <v>404</v>
      </c>
    </row>
    <row r="7" spans="1:7" x14ac:dyDescent="0.35">
      <c r="A7" t="s">
        <v>37</v>
      </c>
      <c r="B7" t="s">
        <v>38</v>
      </c>
      <c r="C7">
        <v>204622.79</v>
      </c>
      <c r="D7">
        <v>36643.859999999993</v>
      </c>
      <c r="E7">
        <v>167978.94</v>
      </c>
      <c r="F7">
        <v>-9.9999999802093953E-3</v>
      </c>
      <c r="G7" t="s">
        <v>400</v>
      </c>
    </row>
    <row r="8" spans="1:7" x14ac:dyDescent="0.35">
      <c r="A8" t="s">
        <v>42</v>
      </c>
      <c r="B8" t="s">
        <v>43</v>
      </c>
      <c r="C8">
        <v>90784.01999999999</v>
      </c>
      <c r="D8">
        <v>25263.08</v>
      </c>
      <c r="E8">
        <v>65520.94</v>
      </c>
      <c r="F8">
        <v>-1.455191522836685E-11</v>
      </c>
      <c r="G8" t="s">
        <v>400</v>
      </c>
    </row>
    <row r="9" spans="1:7" x14ac:dyDescent="0.35">
      <c r="A9" t="s">
        <v>47</v>
      </c>
      <c r="B9" t="s">
        <v>48</v>
      </c>
      <c r="C9">
        <v>105808.48</v>
      </c>
      <c r="D9">
        <v>66627.98000000001</v>
      </c>
      <c r="E9">
        <v>39180.5</v>
      </c>
      <c r="F9">
        <v>-1.455191522836685E-11</v>
      </c>
      <c r="G9" t="s">
        <v>400</v>
      </c>
    </row>
    <row r="10" spans="1:7" x14ac:dyDescent="0.35">
      <c r="A10" t="s">
        <v>52</v>
      </c>
      <c r="B10" t="s">
        <v>53</v>
      </c>
      <c r="C10">
        <v>259844.96</v>
      </c>
      <c r="D10">
        <v>98375.72</v>
      </c>
      <c r="E10">
        <v>161469.26</v>
      </c>
      <c r="F10">
        <v>-2.0000000018626451E-2</v>
      </c>
      <c r="G10" t="s">
        <v>404</v>
      </c>
    </row>
    <row r="11" spans="1:7" x14ac:dyDescent="0.35">
      <c r="A11" t="s">
        <v>57</v>
      </c>
      <c r="B11" t="s">
        <v>58</v>
      </c>
      <c r="C11">
        <v>229059.26</v>
      </c>
      <c r="D11">
        <v>62488.66</v>
      </c>
      <c r="E11">
        <v>166570.6</v>
      </c>
      <c r="F11">
        <v>-2.91038304567337E-11</v>
      </c>
      <c r="G11" t="s">
        <v>400</v>
      </c>
    </row>
    <row r="12" spans="1:7" x14ac:dyDescent="0.35">
      <c r="A12" t="s">
        <v>62</v>
      </c>
      <c r="B12" t="s">
        <v>33</v>
      </c>
      <c r="C12">
        <v>158489.51</v>
      </c>
      <c r="D12">
        <v>84027.839999999997</v>
      </c>
      <c r="E12">
        <v>74461.669999999984</v>
      </c>
      <c r="F12">
        <v>2.91038304567337E-11</v>
      </c>
      <c r="G12" t="s">
        <v>400</v>
      </c>
    </row>
    <row r="13" spans="1:7" x14ac:dyDescent="0.35">
      <c r="A13" t="s">
        <v>66</v>
      </c>
      <c r="B13" t="s">
        <v>67</v>
      </c>
      <c r="C13">
        <v>279454.09000000003</v>
      </c>
      <c r="D13">
        <v>140747.57999999999</v>
      </c>
      <c r="E13">
        <v>138706.48000000001</v>
      </c>
      <c r="F13">
        <v>2.999999996973202E-2</v>
      </c>
      <c r="G13" t="s">
        <v>404</v>
      </c>
    </row>
    <row r="14" spans="1:7" x14ac:dyDescent="0.35">
      <c r="A14" t="s">
        <v>71</v>
      </c>
      <c r="B14" t="s">
        <v>43</v>
      </c>
      <c r="C14">
        <v>174387</v>
      </c>
      <c r="D14">
        <v>73312.989999999991</v>
      </c>
      <c r="E14">
        <v>101074.02</v>
      </c>
      <c r="F14">
        <v>-9.9999999802093953E-3</v>
      </c>
      <c r="G14" t="s">
        <v>400</v>
      </c>
    </row>
    <row r="15" spans="1:7" x14ac:dyDescent="0.35">
      <c r="A15" t="s">
        <v>75</v>
      </c>
      <c r="B15" t="s">
        <v>76</v>
      </c>
      <c r="C15">
        <v>169202.85</v>
      </c>
      <c r="D15">
        <v>35677.5</v>
      </c>
      <c r="E15">
        <v>133525.34</v>
      </c>
      <c r="F15">
        <v>1.0000000009313229E-2</v>
      </c>
      <c r="G15" t="s">
        <v>404</v>
      </c>
    </row>
    <row r="16" spans="1:7" x14ac:dyDescent="0.35">
      <c r="A16" t="s">
        <v>80</v>
      </c>
      <c r="B16" t="s">
        <v>81</v>
      </c>
      <c r="C16">
        <v>90118.25</v>
      </c>
      <c r="D16">
        <v>51049.71</v>
      </c>
      <c r="E16">
        <v>39068.550000000003</v>
      </c>
      <c r="F16">
        <v>-9.9999999947613105E-3</v>
      </c>
      <c r="G16" t="s">
        <v>400</v>
      </c>
    </row>
    <row r="17" spans="1:7" x14ac:dyDescent="0.35">
      <c r="A17" t="s">
        <v>85</v>
      </c>
      <c r="B17" t="s">
        <v>43</v>
      </c>
      <c r="C17">
        <v>214366.88</v>
      </c>
      <c r="D17">
        <v>122722.77</v>
      </c>
      <c r="E17">
        <v>91644.12</v>
      </c>
      <c r="F17">
        <v>-9.9999999947613105E-3</v>
      </c>
      <c r="G17" t="s">
        <v>400</v>
      </c>
    </row>
    <row r="18" spans="1:7" x14ac:dyDescent="0.35">
      <c r="A18" t="s">
        <v>87</v>
      </c>
      <c r="B18" t="s">
        <v>48</v>
      </c>
      <c r="C18">
        <v>173132.46</v>
      </c>
      <c r="D18">
        <v>106867.48</v>
      </c>
      <c r="E18">
        <v>66264.989999999991</v>
      </c>
      <c r="F18">
        <v>-9.9999999802093953E-3</v>
      </c>
      <c r="G18" t="s">
        <v>400</v>
      </c>
    </row>
    <row r="19" spans="1:7" x14ac:dyDescent="0.35">
      <c r="A19" t="s">
        <v>89</v>
      </c>
      <c r="B19" t="s">
        <v>90</v>
      </c>
      <c r="C19">
        <v>241067.33</v>
      </c>
      <c r="D19">
        <v>114742.95</v>
      </c>
      <c r="E19">
        <v>126324.38</v>
      </c>
      <c r="F19">
        <v>0</v>
      </c>
      <c r="G19" t="s">
        <v>400</v>
      </c>
    </row>
    <row r="20" spans="1:7" x14ac:dyDescent="0.35">
      <c r="A20" t="s">
        <v>94</v>
      </c>
      <c r="B20" t="s">
        <v>9</v>
      </c>
      <c r="C20">
        <v>178995.35</v>
      </c>
      <c r="D20">
        <v>105287.67</v>
      </c>
      <c r="E20">
        <v>73707.679999999993</v>
      </c>
      <c r="F20">
        <v>1.455191522836685E-11</v>
      </c>
      <c r="G20" t="s">
        <v>400</v>
      </c>
    </row>
    <row r="21" spans="1:7" x14ac:dyDescent="0.35">
      <c r="A21" t="s">
        <v>98</v>
      </c>
      <c r="B21" t="s">
        <v>99</v>
      </c>
      <c r="C21">
        <v>53693.280000000013</v>
      </c>
      <c r="D21">
        <v>18112.59</v>
      </c>
      <c r="E21">
        <v>35580.69</v>
      </c>
      <c r="F21">
        <v>0</v>
      </c>
      <c r="G21" t="s">
        <v>400</v>
      </c>
    </row>
    <row r="22" spans="1:7" x14ac:dyDescent="0.35">
      <c r="A22" t="s">
        <v>101</v>
      </c>
      <c r="B22" t="s">
        <v>38</v>
      </c>
      <c r="C22">
        <v>224087.11</v>
      </c>
      <c r="D22">
        <v>27576.41</v>
      </c>
      <c r="E22">
        <v>196510.7</v>
      </c>
      <c r="F22">
        <v>0</v>
      </c>
      <c r="G22" t="s">
        <v>400</v>
      </c>
    </row>
    <row r="23" spans="1:7" x14ac:dyDescent="0.35">
      <c r="A23" t="s">
        <v>105</v>
      </c>
      <c r="B23" t="s">
        <v>81</v>
      </c>
      <c r="C23">
        <v>189196.82</v>
      </c>
      <c r="D23">
        <v>100631.87</v>
      </c>
      <c r="E23">
        <v>88564.96</v>
      </c>
      <c r="F23">
        <v>-9.9999999656574801E-3</v>
      </c>
      <c r="G23" t="s">
        <v>400</v>
      </c>
    </row>
    <row r="24" spans="1:7" x14ac:dyDescent="0.35">
      <c r="A24" t="s">
        <v>109</v>
      </c>
      <c r="B24" t="s">
        <v>21</v>
      </c>
      <c r="C24">
        <v>77193.959999999992</v>
      </c>
      <c r="D24">
        <v>11024.57</v>
      </c>
      <c r="E24">
        <v>66169.39</v>
      </c>
      <c r="F24">
        <v>-1.455191522836685E-11</v>
      </c>
      <c r="G24" t="s">
        <v>400</v>
      </c>
    </row>
    <row r="25" spans="1:7" x14ac:dyDescent="0.35">
      <c r="A25" t="s">
        <v>111</v>
      </c>
      <c r="B25" t="s">
        <v>112</v>
      </c>
      <c r="C25">
        <v>168579.44</v>
      </c>
      <c r="D25">
        <v>46410.89</v>
      </c>
      <c r="E25">
        <v>122168.55</v>
      </c>
      <c r="F25">
        <v>0</v>
      </c>
      <c r="G25" t="s">
        <v>400</v>
      </c>
    </row>
    <row r="26" spans="1:7" x14ac:dyDescent="0.35">
      <c r="A26" t="s">
        <v>116</v>
      </c>
      <c r="B26" t="s">
        <v>76</v>
      </c>
      <c r="C26">
        <v>173325.94</v>
      </c>
      <c r="D26">
        <v>121653.94</v>
      </c>
      <c r="E26">
        <v>51671.99</v>
      </c>
      <c r="F26">
        <v>1.000000000203727E-2</v>
      </c>
      <c r="G26" t="s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Aging Summary</vt:lpstr>
      <vt:lpstr>Aging Analysis</vt:lpstr>
      <vt:lpstr>Customer Master</vt:lpstr>
      <vt:lpstr>Invoice Details</vt:lpstr>
      <vt:lpstr>Aged Debtors Summary</vt:lpstr>
      <vt:lpstr>Customer Statements</vt:lpstr>
      <vt:lpstr>Payment History</vt:lpstr>
      <vt:lpstr>Collection Follow-up</vt:lpstr>
      <vt:lpstr>Dashboard Summary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superadmin</cp:lastModifiedBy>
  <dcterms:created xsi:type="dcterms:W3CDTF">2025-12-05T15:52:12Z</dcterms:created>
  <dcterms:modified xsi:type="dcterms:W3CDTF">2025-12-06T07:01:46Z</dcterms:modified>
</cp:coreProperties>
</file>
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KIMAIYO\Airline Roles\Qatart Airways\Finance Assistant - Accounts Receivable\Disputed Invoices Report\"/>
    </mc:Choice>
  </mc:AlternateContent>
  <xr:revisionPtr revIDLastSave="0" documentId="13_ncr:1_{9030FC65-551B-4930-9E6A-01FE23457D52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ummary" sheetId="1" state="hidden" r:id="rId1"/>
    <sheet name="Open_Disputes" sheetId="2" r:id="rId2"/>
    <sheet name="Resolved_Disputes" sheetId="3" state="hidden" r:id="rId3"/>
    <sheet name="Root_Cause_Analysis" sheetId="4" state="hidden" r:id="rId4"/>
    <sheet name="Status_Analysis" sheetId="5" state="hidden" r:id="rId5"/>
    <sheet name="Monthly_Trends" sheetId="6" state="hidden" r:id="rId6"/>
  </sheets>
  <calcPr calcId="0"/>
  <pivotCaches>
    <pivotCache cacheId="3" r:id="rId7"/>
  </pivotCaches>
</workbook>
</file>

<file path=xl/sharedStrings.xml><?xml version="1.0" encoding="utf-8"?>
<sst xmlns="http://schemas.openxmlformats.org/spreadsheetml/2006/main" count="1597" uniqueCount="581">
  <si>
    <t>Metric</t>
  </si>
  <si>
    <t>Value</t>
  </si>
  <si>
    <t>Total Disputed Invoices</t>
  </si>
  <si>
    <t>Open Disputes</t>
  </si>
  <si>
    <t>Resolved Disputes</t>
  </si>
  <si>
    <t>Total Disputed Value</t>
  </si>
  <si>
    <t>$3,323,935.95</t>
  </si>
  <si>
    <t>Average Dispute Amount</t>
  </si>
  <si>
    <t>$16,619.68</t>
  </si>
  <si>
    <t>Average Days Open</t>
  </si>
  <si>
    <t>58.2 days</t>
  </si>
  <si>
    <t>Dispute_ID</t>
  </si>
  <si>
    <t>Invoice_ID</t>
  </si>
  <si>
    <t>Customer_ID</t>
  </si>
  <si>
    <t>Customer_Name</t>
  </si>
  <si>
    <t>Product</t>
  </si>
  <si>
    <t>Dispute_Date</t>
  </si>
  <si>
    <t>Disputed_Amount</t>
  </si>
  <si>
    <t>Root_Cause</t>
  </si>
  <si>
    <t>Status</t>
  </si>
  <si>
    <t>Days_Open</t>
  </si>
  <si>
    <t>Assigned_To</t>
  </si>
  <si>
    <t>DIS00001</t>
  </si>
  <si>
    <t>INV5426</t>
  </si>
  <si>
    <t>CUST011</t>
  </si>
  <si>
    <t>Customer 88</t>
  </si>
  <si>
    <t>Product E</t>
  </si>
  <si>
    <t>Pricing Error</t>
  </si>
  <si>
    <t>Pending</t>
  </si>
  <si>
    <t>Sarah Lee</t>
  </si>
  <si>
    <t>DIS00002</t>
  </si>
  <si>
    <t>INV2184</t>
  </si>
  <si>
    <t>CUST012</t>
  </si>
  <si>
    <t>Customer 58</t>
  </si>
  <si>
    <t>Product F</t>
  </si>
  <si>
    <t>Escalated</t>
  </si>
  <si>
    <t>Tom Wilson</t>
  </si>
  <si>
    <t>DIS00003</t>
  </si>
  <si>
    <t>INV3734</t>
  </si>
  <si>
    <t>CUST030</t>
  </si>
  <si>
    <t>Customer 51</t>
  </si>
  <si>
    <t>Product D</t>
  </si>
  <si>
    <t>Tax Calculation Error</t>
  </si>
  <si>
    <t>DIS00004</t>
  </si>
  <si>
    <t>INV9433</t>
  </si>
  <si>
    <t>CUST026</t>
  </si>
  <si>
    <t>Customer 9</t>
  </si>
  <si>
    <t>Product B</t>
  </si>
  <si>
    <t>DIS00005</t>
  </si>
  <si>
    <t>INV4152</t>
  </si>
  <si>
    <t>CUST004</t>
  </si>
  <si>
    <t>Customer 50</t>
  </si>
  <si>
    <t>Documentation Error</t>
  </si>
  <si>
    <t>Jane Smith</t>
  </si>
  <si>
    <t>DIS00006</t>
  </si>
  <si>
    <t>INV8629</t>
  </si>
  <si>
    <t>CUST023</t>
  </si>
  <si>
    <t>Customer 62</t>
  </si>
  <si>
    <t>Quantity Discrepancy</t>
  </si>
  <si>
    <t>Under Investigation</t>
  </si>
  <si>
    <t>DIS00007</t>
  </si>
  <si>
    <t>INV3062</t>
  </si>
  <si>
    <t>CUST013</t>
  </si>
  <si>
    <t>Customer 65</t>
  </si>
  <si>
    <t>Product A</t>
  </si>
  <si>
    <t>Delivery Issue</t>
  </si>
  <si>
    <t>John Doe</t>
  </si>
  <si>
    <t>DIS00008</t>
  </si>
  <si>
    <t>INV6892</t>
  </si>
  <si>
    <t>CUST010</t>
  </si>
  <si>
    <t>Customer 41</t>
  </si>
  <si>
    <t>Product Quality</t>
  </si>
  <si>
    <t>DIS00010</t>
  </si>
  <si>
    <t>INV1863</t>
  </si>
  <si>
    <t>CUST007</t>
  </si>
  <si>
    <t>Customer 52</t>
  </si>
  <si>
    <t>DIS00011</t>
  </si>
  <si>
    <t>INV4157</t>
  </si>
  <si>
    <t>CUST028</t>
  </si>
  <si>
    <t>Customer 66</t>
  </si>
  <si>
    <t>DIS00012</t>
  </si>
  <si>
    <t>INV2663</t>
  </si>
  <si>
    <t>Customer 92</t>
  </si>
  <si>
    <t>DIS00014</t>
  </si>
  <si>
    <t>INV1698</t>
  </si>
  <si>
    <t>CUST017</t>
  </si>
  <si>
    <t>Customer 2</t>
  </si>
  <si>
    <t>DIS00016</t>
  </si>
  <si>
    <t>INV5282</t>
  </si>
  <si>
    <t>CUST006</t>
  </si>
  <si>
    <t>Customer 80</t>
  </si>
  <si>
    <t>Mike Johnson</t>
  </si>
  <si>
    <t>DIS00017</t>
  </si>
  <si>
    <t>INV9680</t>
  </si>
  <si>
    <t>CUST001</t>
  </si>
  <si>
    <t>Customer 40</t>
  </si>
  <si>
    <t>Product G</t>
  </si>
  <si>
    <t>DIS00019</t>
  </si>
  <si>
    <t>INV3255</t>
  </si>
  <si>
    <t>CUST003</t>
  </si>
  <si>
    <t>Customer 20</t>
  </si>
  <si>
    <t>DIS00020</t>
  </si>
  <si>
    <t>INV1098</t>
  </si>
  <si>
    <t>CUST025</t>
  </si>
  <si>
    <t>Customer 93</t>
  </si>
  <si>
    <t>DIS00026</t>
  </si>
  <si>
    <t>INV3368</t>
  </si>
  <si>
    <t>CUST008</t>
  </si>
  <si>
    <t>Customer 16</t>
  </si>
  <si>
    <t>DIS00027</t>
  </si>
  <si>
    <t>INV4769</t>
  </si>
  <si>
    <t>Customer 22</t>
  </si>
  <si>
    <t>DIS00031</t>
  </si>
  <si>
    <t>INV6188</t>
  </si>
  <si>
    <t>CUST015</t>
  </si>
  <si>
    <t>Customer 94</t>
  </si>
  <si>
    <t>DIS00033</t>
  </si>
  <si>
    <t>INV7303</t>
  </si>
  <si>
    <t>CUST027</t>
  </si>
  <si>
    <t>Customer 84</t>
  </si>
  <si>
    <t>DIS00034</t>
  </si>
  <si>
    <t>INV4913</t>
  </si>
  <si>
    <t>Customer 44</t>
  </si>
  <si>
    <t>DIS00035</t>
  </si>
  <si>
    <t>INV1417</t>
  </si>
  <si>
    <t>CUST019</t>
  </si>
  <si>
    <t>Customer 7</t>
  </si>
  <si>
    <t>DIS00038</t>
  </si>
  <si>
    <t>INV3782</t>
  </si>
  <si>
    <t>CUST020</t>
  </si>
  <si>
    <t>Customer 83</t>
  </si>
  <si>
    <t>DIS00039</t>
  </si>
  <si>
    <t>INV2062</t>
  </si>
  <si>
    <t>Customer 53</t>
  </si>
  <si>
    <t>DIS00040</t>
  </si>
  <si>
    <t>INV7731</t>
  </si>
  <si>
    <t>CUST009</t>
  </si>
  <si>
    <t>Customer 74</t>
  </si>
  <si>
    <t>DIS00043</t>
  </si>
  <si>
    <t>INV4072</t>
  </si>
  <si>
    <t>Customer 77</t>
  </si>
  <si>
    <t>DIS00044</t>
  </si>
  <si>
    <t>INV5175</t>
  </si>
  <si>
    <t>CUST022</t>
  </si>
  <si>
    <t>Customer 85</t>
  </si>
  <si>
    <t>Product C</t>
  </si>
  <si>
    <t>DIS00045</t>
  </si>
  <si>
    <t>INV9053</t>
  </si>
  <si>
    <t>DIS00046</t>
  </si>
  <si>
    <t>INV7819</t>
  </si>
  <si>
    <t>Customer 8</t>
  </si>
  <si>
    <t>DIS00048</t>
  </si>
  <si>
    <t>INV8418</t>
  </si>
  <si>
    <t>Customer 5</t>
  </si>
  <si>
    <t>DIS00049</t>
  </si>
  <si>
    <t>INV7970</t>
  </si>
  <si>
    <t>Customer 49</t>
  </si>
  <si>
    <t>DIS00050</t>
  </si>
  <si>
    <t>INV6989</t>
  </si>
  <si>
    <t>DIS00051</t>
  </si>
  <si>
    <t>INV5780</t>
  </si>
  <si>
    <t>Customer 4</t>
  </si>
  <si>
    <t>DIS00053</t>
  </si>
  <si>
    <t>INV7881</t>
  </si>
  <si>
    <t>DIS00054</t>
  </si>
  <si>
    <t>INV6115</t>
  </si>
  <si>
    <t>DIS00055</t>
  </si>
  <si>
    <t>INV8941</t>
  </si>
  <si>
    <t>CUST021</t>
  </si>
  <si>
    <t>DIS00057</t>
  </si>
  <si>
    <t>INV7981</t>
  </si>
  <si>
    <t>DIS00058</t>
  </si>
  <si>
    <t>INV6240</t>
  </si>
  <si>
    <t>Customer 56</t>
  </si>
  <si>
    <t>DIS00059</t>
  </si>
  <si>
    <t>INV1638</t>
  </si>
  <si>
    <t>CUST024</t>
  </si>
  <si>
    <t>Customer 86</t>
  </si>
  <si>
    <t>DIS00060</t>
  </si>
  <si>
    <t>INV6122</t>
  </si>
  <si>
    <t>Customer 23</t>
  </si>
  <si>
    <t>DIS00061</t>
  </si>
  <si>
    <t>Customer 17</t>
  </si>
  <si>
    <t>DIS00063</t>
  </si>
  <si>
    <t>INV1876</t>
  </si>
  <si>
    <t>Customer 33</t>
  </si>
  <si>
    <t>DIS00064</t>
  </si>
  <si>
    <t>INV9434</t>
  </si>
  <si>
    <t>Customer 36</t>
  </si>
  <si>
    <t>DIS00065</t>
  </si>
  <si>
    <t>INV5289</t>
  </si>
  <si>
    <t>Customer 75</t>
  </si>
  <si>
    <t>DIS00068</t>
  </si>
  <si>
    <t>INV2604</t>
  </si>
  <si>
    <t>Customer 60</t>
  </si>
  <si>
    <t>DIS00070</t>
  </si>
  <si>
    <t>INV2065</t>
  </si>
  <si>
    <t>Customer 18</t>
  </si>
  <si>
    <t>DIS00071</t>
  </si>
  <si>
    <t>INV5033</t>
  </si>
  <si>
    <t>CUST014</t>
  </si>
  <si>
    <t>DIS00073</t>
  </si>
  <si>
    <t>INV7371</t>
  </si>
  <si>
    <t>DIS00075</t>
  </si>
  <si>
    <t>INV8783</t>
  </si>
  <si>
    <t>Customer 82</t>
  </si>
  <si>
    <t>DIS00076</t>
  </si>
  <si>
    <t>INV6959</t>
  </si>
  <si>
    <t>DIS00077</t>
  </si>
  <si>
    <t>INV4417</t>
  </si>
  <si>
    <t>DIS00078</t>
  </si>
  <si>
    <t>INV4507</t>
  </si>
  <si>
    <t>Customer 26</t>
  </si>
  <si>
    <t>DIS00080</t>
  </si>
  <si>
    <t>INV6588</t>
  </si>
  <si>
    <t>Customer 71</t>
  </si>
  <si>
    <t>DIS00081</t>
  </si>
  <si>
    <t>INV2759</t>
  </si>
  <si>
    <t>DIS00083</t>
  </si>
  <si>
    <t>INV5873</t>
  </si>
  <si>
    <t>DIS00084</t>
  </si>
  <si>
    <t>INV9519</t>
  </si>
  <si>
    <t>Customer 67</t>
  </si>
  <si>
    <t>DIS00085</t>
  </si>
  <si>
    <t>INV5547</t>
  </si>
  <si>
    <t>Customer 37</t>
  </si>
  <si>
    <t>DIS00086</t>
  </si>
  <si>
    <t>INV2308</t>
  </si>
  <si>
    <t>DIS00089</t>
  </si>
  <si>
    <t>INV6475</t>
  </si>
  <si>
    <t>Customer 38</t>
  </si>
  <si>
    <t>DIS00090</t>
  </si>
  <si>
    <t>INV1645</t>
  </si>
  <si>
    <t>DIS00094</t>
  </si>
  <si>
    <t>INV4549</t>
  </si>
  <si>
    <t>Customer 98</t>
  </si>
  <si>
    <t>DIS00097</t>
  </si>
  <si>
    <t>INV9007</t>
  </si>
  <si>
    <t>CUST018</t>
  </si>
  <si>
    <t>Customer 59</t>
  </si>
  <si>
    <t>DIS00098</t>
  </si>
  <si>
    <t>INV4223</t>
  </si>
  <si>
    <t>DIS00099</t>
  </si>
  <si>
    <t>INV6468</t>
  </si>
  <si>
    <t>Customer 25</t>
  </si>
  <si>
    <t>DIS00100</t>
  </si>
  <si>
    <t>INV5346</t>
  </si>
  <si>
    <t>Customer 13</t>
  </si>
  <si>
    <t>DIS00102</t>
  </si>
  <si>
    <t>INV5388</t>
  </si>
  <si>
    <t>Customer 48</t>
  </si>
  <si>
    <t>DIS00103</t>
  </si>
  <si>
    <t>INV5805</t>
  </si>
  <si>
    <t>DIS00104</t>
  </si>
  <si>
    <t>INV6429</t>
  </si>
  <si>
    <t>DIS00107</t>
  </si>
  <si>
    <t>INV1954</t>
  </si>
  <si>
    <t>CUST002</t>
  </si>
  <si>
    <t>DIS00108</t>
  </si>
  <si>
    <t>INV1317</t>
  </si>
  <si>
    <t>CUST029</t>
  </si>
  <si>
    <t>DIS00109</t>
  </si>
  <si>
    <t>INV2704</t>
  </si>
  <si>
    <t>Customer 45</t>
  </si>
  <si>
    <t>DIS00110</t>
  </si>
  <si>
    <t>INV6150</t>
  </si>
  <si>
    <t>Customer 42</t>
  </si>
  <si>
    <t>DIS00111</t>
  </si>
  <si>
    <t>INV6343</t>
  </si>
  <si>
    <t>Customer 46</t>
  </si>
  <si>
    <t>DIS00112</t>
  </si>
  <si>
    <t>INV6352</t>
  </si>
  <si>
    <t>Customer 63</t>
  </si>
  <si>
    <t>DIS00113</t>
  </si>
  <si>
    <t>INV2040</t>
  </si>
  <si>
    <t>DIS00115</t>
  </si>
  <si>
    <t>INV3844</t>
  </si>
  <si>
    <t>DIS00117</t>
  </si>
  <si>
    <t>INV9984</t>
  </si>
  <si>
    <t>Customer 12</t>
  </si>
  <si>
    <t>DIS00120</t>
  </si>
  <si>
    <t>INV6420</t>
  </si>
  <si>
    <t>DIS00122</t>
  </si>
  <si>
    <t>INV4174</t>
  </si>
  <si>
    <t>DIS00124</t>
  </si>
  <si>
    <t>INV1207</t>
  </si>
  <si>
    <t>Customer 6</t>
  </si>
  <si>
    <t>DIS00128</t>
  </si>
  <si>
    <t>INV2394</t>
  </si>
  <si>
    <t>DIS00131</t>
  </si>
  <si>
    <t>INV1269</t>
  </si>
  <si>
    <t>CUST016</t>
  </si>
  <si>
    <t>DIS00132</t>
  </si>
  <si>
    <t>INV8029</t>
  </si>
  <si>
    <t>Customer 28</t>
  </si>
  <si>
    <t>DIS00134</t>
  </si>
  <si>
    <t>INV2229</t>
  </si>
  <si>
    <t>DIS00136</t>
  </si>
  <si>
    <t>INV2198</t>
  </si>
  <si>
    <t>DIS00137</t>
  </si>
  <si>
    <t>INV5440</t>
  </si>
  <si>
    <t>Customer 68</t>
  </si>
  <si>
    <t>DIS00139</t>
  </si>
  <si>
    <t>INV5114</t>
  </si>
  <si>
    <t>DIS00140</t>
  </si>
  <si>
    <t>INV8232</t>
  </si>
  <si>
    <t>DIS00142</t>
  </si>
  <si>
    <t>INV5399</t>
  </si>
  <si>
    <t>CUST005</t>
  </si>
  <si>
    <t>Customer 79</t>
  </si>
  <si>
    <t>DIS00143</t>
  </si>
  <si>
    <t>INV1406</t>
  </si>
  <si>
    <t>DIS00144</t>
  </si>
  <si>
    <t>INV7012</t>
  </si>
  <si>
    <t>DIS00145</t>
  </si>
  <si>
    <t>INV7787</t>
  </si>
  <si>
    <t>Customer 89</t>
  </si>
  <si>
    <t>DIS00146</t>
  </si>
  <si>
    <t>INV9636</t>
  </si>
  <si>
    <t>DIS00147</t>
  </si>
  <si>
    <t>INV8285</t>
  </si>
  <si>
    <t>DIS00149</t>
  </si>
  <si>
    <t>INV1630</t>
  </si>
  <si>
    <t>Customer 81</t>
  </si>
  <si>
    <t>DIS00151</t>
  </si>
  <si>
    <t>INV7764</t>
  </si>
  <si>
    <t>DIS00153</t>
  </si>
  <si>
    <t>INV4874</t>
  </si>
  <si>
    <t>Customer 87</t>
  </si>
  <si>
    <t>DIS00154</t>
  </si>
  <si>
    <t>DIS00155</t>
  </si>
  <si>
    <t>INV8446</t>
  </si>
  <si>
    <t>DIS00158</t>
  </si>
  <si>
    <t>INV9785</t>
  </si>
  <si>
    <t>Customer 35</t>
  </si>
  <si>
    <t>DIS00160</t>
  </si>
  <si>
    <t>INV5917</t>
  </si>
  <si>
    <t>DIS00161</t>
  </si>
  <si>
    <t>INV8340</t>
  </si>
  <si>
    <t>DIS00164</t>
  </si>
  <si>
    <t>INV2403</t>
  </si>
  <si>
    <t>DIS00165</t>
  </si>
  <si>
    <t>INV2549</t>
  </si>
  <si>
    <t>DIS00166</t>
  </si>
  <si>
    <t>INV7356</t>
  </si>
  <si>
    <t>DIS00167</t>
  </si>
  <si>
    <t>INV8961</t>
  </si>
  <si>
    <t>DIS00168</t>
  </si>
  <si>
    <t>INV3672</t>
  </si>
  <si>
    <t>Customer 64</t>
  </si>
  <si>
    <t>DIS00169</t>
  </si>
  <si>
    <t>INV8451</t>
  </si>
  <si>
    <t>Customer 34</t>
  </si>
  <si>
    <t>DIS00171</t>
  </si>
  <si>
    <t>INV6510</t>
  </si>
  <si>
    <t>DIS00172</t>
  </si>
  <si>
    <t>INV8504</t>
  </si>
  <si>
    <t>DIS00174</t>
  </si>
  <si>
    <t>INV8569</t>
  </si>
  <si>
    <t>Customer 73</t>
  </si>
  <si>
    <t>DIS00175</t>
  </si>
  <si>
    <t>INV1685</t>
  </si>
  <si>
    <t>Customer 21</t>
  </si>
  <si>
    <t>DIS00176</t>
  </si>
  <si>
    <t>INV1301</t>
  </si>
  <si>
    <t>DIS00177</t>
  </si>
  <si>
    <t>INV5558</t>
  </si>
  <si>
    <t>Customer 27</t>
  </si>
  <si>
    <t>DIS00180</t>
  </si>
  <si>
    <t>INV2037</t>
  </si>
  <si>
    <t>DIS00181</t>
  </si>
  <si>
    <t>INV6251</t>
  </si>
  <si>
    <t>Customer 10</t>
  </si>
  <si>
    <t>DIS00182</t>
  </si>
  <si>
    <t>INV6036</t>
  </si>
  <si>
    <t>DIS00184</t>
  </si>
  <si>
    <t>INV7256</t>
  </si>
  <si>
    <t>Customer 97</t>
  </si>
  <si>
    <t>DIS00185</t>
  </si>
  <si>
    <t>INV2283</t>
  </si>
  <si>
    <t>Customer 47</t>
  </si>
  <si>
    <t>DIS00186</t>
  </si>
  <si>
    <t>INV6068</t>
  </si>
  <si>
    <t>DIS00187</t>
  </si>
  <si>
    <t>INV8999</t>
  </si>
  <si>
    <t>DIS00188</t>
  </si>
  <si>
    <t>INV3839</t>
  </si>
  <si>
    <t>Customer 70</t>
  </si>
  <si>
    <t>DIS00189</t>
  </si>
  <si>
    <t>INV5998</t>
  </si>
  <si>
    <t>Customer 55</t>
  </si>
  <si>
    <t>DIS00191</t>
  </si>
  <si>
    <t>INV7342</t>
  </si>
  <si>
    <t>DIS00192</t>
  </si>
  <si>
    <t>INV2938</t>
  </si>
  <si>
    <t>DIS00194</t>
  </si>
  <si>
    <t>INV4137</t>
  </si>
  <si>
    <t>DIS00195</t>
  </si>
  <si>
    <t>INV2854</t>
  </si>
  <si>
    <t>DIS00196</t>
  </si>
  <si>
    <t>INV2749</t>
  </si>
  <si>
    <t>DIS00197</t>
  </si>
  <si>
    <t>INV4970</t>
  </si>
  <si>
    <t>DIS00198</t>
  </si>
  <si>
    <t>INV3551</t>
  </si>
  <si>
    <t>DIS00199</t>
  </si>
  <si>
    <t>INV7971</t>
  </si>
  <si>
    <t>DIS00200</t>
  </si>
  <si>
    <t>INV4200</t>
  </si>
  <si>
    <t>Resolution_Date</t>
  </si>
  <si>
    <t>Resolution_Type</t>
  </si>
  <si>
    <t>DIS00009</t>
  </si>
  <si>
    <t>INV9110</t>
  </si>
  <si>
    <t>Customer 3</t>
  </si>
  <si>
    <t>Partial Refund</t>
  </si>
  <si>
    <t>DIS00013</t>
  </si>
  <si>
    <t>INV1663</t>
  </si>
  <si>
    <t>DIS00015</t>
  </si>
  <si>
    <t>INV5931</t>
  </si>
  <si>
    <t>Credit Note</t>
  </si>
  <si>
    <t>DIS00018</t>
  </si>
  <si>
    <t>INV9815</t>
  </si>
  <si>
    <t>DIS00021</t>
  </si>
  <si>
    <t>INV5496</t>
  </si>
  <si>
    <t>Price Adjustment</t>
  </si>
  <si>
    <t>DIS00022</t>
  </si>
  <si>
    <t>INV8022</t>
  </si>
  <si>
    <t>Customer 69</t>
  </si>
  <si>
    <t>DIS00023</t>
  </si>
  <si>
    <t>INV2060</t>
  </si>
  <si>
    <t>Replacement Sent</t>
  </si>
  <si>
    <t>DIS00024</t>
  </si>
  <si>
    <t>INV6854</t>
  </si>
  <si>
    <t>DIS00025</t>
  </si>
  <si>
    <t>INV8206</t>
  </si>
  <si>
    <t>DIS00028</t>
  </si>
  <si>
    <t>INV1004</t>
  </si>
  <si>
    <t>DIS00029</t>
  </si>
  <si>
    <t>INV9311</t>
  </si>
  <si>
    <t>Full Refund</t>
  </si>
  <si>
    <t>DIS00030</t>
  </si>
  <si>
    <t>INV8404</t>
  </si>
  <si>
    <t>Customer 1</t>
  </si>
  <si>
    <t>DIS00032</t>
  </si>
  <si>
    <t>INV3849</t>
  </si>
  <si>
    <t>Customer 95</t>
  </si>
  <si>
    <t>DIS00036</t>
  </si>
  <si>
    <t>INV2122</t>
  </si>
  <si>
    <t>DIS00037</t>
  </si>
  <si>
    <t>INV9787</t>
  </si>
  <si>
    <t>DIS00041</t>
  </si>
  <si>
    <t>INV6541</t>
  </si>
  <si>
    <t>DIS00042</t>
  </si>
  <si>
    <t>INV6301</t>
  </si>
  <si>
    <t>Customer 91</t>
  </si>
  <si>
    <t>DIS00047</t>
  </si>
  <si>
    <t>INV3779</t>
  </si>
  <si>
    <t>Customer 29</t>
  </si>
  <si>
    <t>DIS00052</t>
  </si>
  <si>
    <t>INV5363</t>
  </si>
  <si>
    <t>Customer 54</t>
  </si>
  <si>
    <t>DIS00056</t>
  </si>
  <si>
    <t>INV9472</t>
  </si>
  <si>
    <t>Customer 96</t>
  </si>
  <si>
    <t>DIS00062</t>
  </si>
  <si>
    <t>INV5206</t>
  </si>
  <si>
    <t>DIS00066</t>
  </si>
  <si>
    <t>INV7233</t>
  </si>
  <si>
    <t>DIS00067</t>
  </si>
  <si>
    <t>INV3219</t>
  </si>
  <si>
    <t>DIS00069</t>
  </si>
  <si>
    <t>Customer 11</t>
  </si>
  <si>
    <t>DIS00072</t>
  </si>
  <si>
    <t>INV2120</t>
  </si>
  <si>
    <t>DIS00074</t>
  </si>
  <si>
    <t>INV3116</t>
  </si>
  <si>
    <t>DIS00079</t>
  </si>
  <si>
    <t>INV5971</t>
  </si>
  <si>
    <t>DIS00082</t>
  </si>
  <si>
    <t>INV6490</t>
  </si>
  <si>
    <t>DIS00087</t>
  </si>
  <si>
    <t>INV8083</t>
  </si>
  <si>
    <t>DIS00088</t>
  </si>
  <si>
    <t>INV9428</t>
  </si>
  <si>
    <t>DIS00091</t>
  </si>
  <si>
    <t>INV2386</t>
  </si>
  <si>
    <t>DIS00092</t>
  </si>
  <si>
    <t>INV7766</t>
  </si>
  <si>
    <t>DIS00093</t>
  </si>
  <si>
    <t>INV2524</t>
  </si>
  <si>
    <t>DIS00095</t>
  </si>
  <si>
    <t>INV9407</t>
  </si>
  <si>
    <t>DIS00096</t>
  </si>
  <si>
    <t>INV9044</t>
  </si>
  <si>
    <t>DIS00101</t>
  </si>
  <si>
    <t>INV2771</t>
  </si>
  <si>
    <t>DIS00105</t>
  </si>
  <si>
    <t>INV2913</t>
  </si>
  <si>
    <t>Customer 61</t>
  </si>
  <si>
    <t>DIS00106</t>
  </si>
  <si>
    <t>INV2933</t>
  </si>
  <si>
    <t>DIS00114</t>
  </si>
  <si>
    <t>INV6126</t>
  </si>
  <si>
    <t>DIS00116</t>
  </si>
  <si>
    <t>INV5179</t>
  </si>
  <si>
    <t>Customer 19</t>
  </si>
  <si>
    <t>DIS00118</t>
  </si>
  <si>
    <t>INV1959</t>
  </si>
  <si>
    <t>DIS00119</t>
  </si>
  <si>
    <t>INV8099</t>
  </si>
  <si>
    <t>DIS00121</t>
  </si>
  <si>
    <t>INV3720</t>
  </si>
  <si>
    <t>DIS00123</t>
  </si>
  <si>
    <t>INV4144</t>
  </si>
  <si>
    <t>DIS00125</t>
  </si>
  <si>
    <t>INV4638</t>
  </si>
  <si>
    <t>DIS00126</t>
  </si>
  <si>
    <t>INV7236</t>
  </si>
  <si>
    <t>DIS00127</t>
  </si>
  <si>
    <t>INV2712</t>
  </si>
  <si>
    <t>DIS00129</t>
  </si>
  <si>
    <t>INV1374</t>
  </si>
  <si>
    <t>DIS00130</t>
  </si>
  <si>
    <t>INV9219</t>
  </si>
  <si>
    <t>DIS00133</t>
  </si>
  <si>
    <t>INV2274</t>
  </si>
  <si>
    <t>DIS00135</t>
  </si>
  <si>
    <t>INV7294</t>
  </si>
  <si>
    <t>DIS00138</t>
  </si>
  <si>
    <t>INV6704</t>
  </si>
  <si>
    <t>DIS00141</t>
  </si>
  <si>
    <t>INV3989</t>
  </si>
  <si>
    <t>DIS00148</t>
  </si>
  <si>
    <t>INV7807</t>
  </si>
  <si>
    <t>DIS00150</t>
  </si>
  <si>
    <t>INV5358</t>
  </si>
  <si>
    <t>DIS00152</t>
  </si>
  <si>
    <t>INV3475</t>
  </si>
  <si>
    <t>Customer 32</t>
  </si>
  <si>
    <t>DIS00156</t>
  </si>
  <si>
    <t>INV3785</t>
  </si>
  <si>
    <t>Customer 14</t>
  </si>
  <si>
    <t>DIS00157</t>
  </si>
  <si>
    <t>INV8574</t>
  </si>
  <si>
    <t>DIS00159</t>
  </si>
  <si>
    <t>INV3978</t>
  </si>
  <si>
    <t>Customer 78</t>
  </si>
  <si>
    <t>DIS00162</t>
  </si>
  <si>
    <t>INV8154</t>
  </si>
  <si>
    <t>DIS00163</t>
  </si>
  <si>
    <t>INV6448</t>
  </si>
  <si>
    <t>DIS00170</t>
  </si>
  <si>
    <t>INV4456</t>
  </si>
  <si>
    <t>DIS00173</t>
  </si>
  <si>
    <t>INV3196</t>
  </si>
  <si>
    <t>DIS00178</t>
  </si>
  <si>
    <t>INV6926</t>
  </si>
  <si>
    <t>DIS00179</t>
  </si>
  <si>
    <t>INV4967</t>
  </si>
  <si>
    <t>DIS00183</t>
  </si>
  <si>
    <t>INV4390</t>
  </si>
  <si>
    <t>DIS00190</t>
  </si>
  <si>
    <t>INV9017</t>
  </si>
  <si>
    <t>Customer 57</t>
  </si>
  <si>
    <t>DIS00193</t>
  </si>
  <si>
    <t>INV7171</t>
  </si>
  <si>
    <t>Customer 43</t>
  </si>
  <si>
    <t>Count</t>
  </si>
  <si>
    <t>Percentage</t>
  </si>
  <si>
    <t>Total_Disputed_Amount</t>
  </si>
  <si>
    <t>Avg_Disputed_Amount</t>
  </si>
  <si>
    <t>Resolution_Rate</t>
  </si>
  <si>
    <t>Pct_of_Total_Disputed</t>
  </si>
  <si>
    <t>Resolved</t>
  </si>
  <si>
    <t>Month</t>
  </si>
  <si>
    <t>Total_Disputes</t>
  </si>
  <si>
    <t>Open_Disputes</t>
  </si>
  <si>
    <t>Row Labels</t>
  </si>
  <si>
    <t>Grand Total</t>
  </si>
  <si>
    <t>Sum of Disputed_Amount</t>
  </si>
  <si>
    <t>Disputed invoices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</si>
</sst>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0" applyNumberFormat="1" applyBorder="1"/>
  </cellXfs>
  <cellStyles count="1">
    <cellStyle name="Normal" xfId="0" builtinId="0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eradmin" refreshedDate="45997.75551087963" createdVersion="8" refreshedVersion="8" minRefreshableVersion="3" recordCount="132" xr:uid="{6EC81499-5183-4B68-AC4D-528D3C1275FD}">
  <cacheSource type="worksheet">
    <worksheetSource name="Table1"/>
  </cacheSource>
  <cacheFields count="11">
    <cacheField name="Dispute_ID" numFmtId="0">
      <sharedItems/>
    </cacheField>
    <cacheField name="Invoice_ID" numFmtId="0">
      <sharedItems/>
    </cacheField>
    <cacheField name="Customer_ID" numFmtId="0">
      <sharedItems/>
    </cacheField>
    <cacheField name="Customer_Name" numFmtId="0">
      <sharedItems/>
    </cacheField>
    <cacheField name="Product" numFmtId="0">
      <sharedItems/>
    </cacheField>
    <cacheField name="Dispute_Date" numFmtId="165">
      <sharedItems containsSemiMixedTypes="0" containsNonDate="0" containsDate="1" containsString="0" minDate="2025-06-18T18:04:54" maxDate="2026-01-23T18:04:54"/>
    </cacheField>
    <cacheField name="Disputed_Amount" numFmtId="0">
      <sharedItems containsSemiMixedTypes="0" containsString="0" containsNumber="1" minValue="412.95" maxValue="79839.27"/>
    </cacheField>
    <cacheField name="Root_Cause" numFmtId="0">
      <sharedItems/>
    </cacheField>
    <cacheField name="Status" numFmtId="0">
      <sharedItems count="3">
        <s v="Pending"/>
        <s v="Escalated"/>
        <s v="Under Investigation"/>
      </sharedItems>
    </cacheField>
    <cacheField name="Days_Open" numFmtId="0">
      <sharedItems containsSemiMixedTypes="0" containsString="0" containsNumber="1" containsInteger="1" minValue="-48" maxValue="171"/>
    </cacheField>
    <cacheField name="Assigned_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s v="DIS00001"/>
    <s v="INV5426"/>
    <s v="CUST011"/>
    <s v="Customer 88"/>
    <s v="Product E"/>
    <d v="2025-11-10T18:04:54"/>
    <n v="30381.21"/>
    <s v="Pricing Error"/>
    <x v="0"/>
    <n v="26"/>
    <s v="Sarah Lee"/>
  </r>
  <r>
    <s v="DIS00002"/>
    <s v="INV2184"/>
    <s v="CUST012"/>
    <s v="Customer 58"/>
    <s v="Product F"/>
    <d v="2025-10-14T18:04:54"/>
    <n v="79839.27"/>
    <s v="Pricing Error"/>
    <x v="1"/>
    <n v="53"/>
    <s v="Tom Wilson"/>
  </r>
  <r>
    <s v="DIS00003"/>
    <s v="INV3734"/>
    <s v="CUST030"/>
    <s v="Customer 51"/>
    <s v="Product D"/>
    <d v="2025-10-24T18:04:54"/>
    <n v="3759.62"/>
    <s v="Tax Calculation Error"/>
    <x v="0"/>
    <n v="43"/>
    <s v="Sarah Lee"/>
  </r>
  <r>
    <s v="DIS00004"/>
    <s v="INV9433"/>
    <s v="CUST026"/>
    <s v="Customer 9"/>
    <s v="Product B"/>
    <d v="2025-10-07T18:04:54"/>
    <n v="709.54"/>
    <s v="Pricing Error"/>
    <x v="1"/>
    <n v="60"/>
    <s v="Tom Wilson"/>
  </r>
  <r>
    <s v="DIS00005"/>
    <s v="INV4152"/>
    <s v="CUST004"/>
    <s v="Customer 50"/>
    <s v="Product D"/>
    <d v="2025-11-05T18:04:54"/>
    <n v="8067.53"/>
    <s v="Documentation Error"/>
    <x v="0"/>
    <n v="31"/>
    <s v="Jane Smith"/>
  </r>
  <r>
    <s v="DIS00006"/>
    <s v="INV8629"/>
    <s v="CUST023"/>
    <s v="Customer 62"/>
    <s v="Product E"/>
    <d v="2025-12-13T18:04:54"/>
    <n v="64949.37"/>
    <s v="Quantity Discrepancy"/>
    <x v="2"/>
    <n v="-7"/>
    <s v="Tom Wilson"/>
  </r>
  <r>
    <s v="DIS00007"/>
    <s v="INV3062"/>
    <s v="CUST013"/>
    <s v="Customer 65"/>
    <s v="Product A"/>
    <d v="2025-10-15T18:04:54"/>
    <n v="14650.85"/>
    <s v="Delivery Issue"/>
    <x v="0"/>
    <n v="52"/>
    <s v="John Doe"/>
  </r>
  <r>
    <s v="DIS00008"/>
    <s v="INV6892"/>
    <s v="CUST010"/>
    <s v="Customer 41"/>
    <s v="Product D"/>
    <d v="2025-09-05T18:04:54"/>
    <n v="20721.810000000001"/>
    <s v="Product Quality"/>
    <x v="2"/>
    <n v="92"/>
    <s v="John Doe"/>
  </r>
  <r>
    <s v="DIS00010"/>
    <s v="INV1863"/>
    <s v="CUST007"/>
    <s v="Customer 52"/>
    <s v="Product E"/>
    <d v="2025-12-06T18:04:54"/>
    <n v="499.8"/>
    <s v="Delivery Issue"/>
    <x v="0"/>
    <n v="0"/>
    <s v="Sarah Lee"/>
  </r>
  <r>
    <s v="DIS00011"/>
    <s v="INV4157"/>
    <s v="CUST028"/>
    <s v="Customer 66"/>
    <s v="Product B"/>
    <d v="2025-12-15T18:04:54"/>
    <n v="6367.37"/>
    <s v="Pricing Error"/>
    <x v="0"/>
    <n v="-9"/>
    <s v="Tom Wilson"/>
  </r>
  <r>
    <s v="DIS00012"/>
    <s v="INV2663"/>
    <s v="CUST026"/>
    <s v="Customer 92"/>
    <s v="Product A"/>
    <d v="2025-10-05T18:04:54"/>
    <n v="1697.12"/>
    <s v="Delivery Issue"/>
    <x v="2"/>
    <n v="62"/>
    <s v="John Doe"/>
  </r>
  <r>
    <s v="DIS00014"/>
    <s v="INV1698"/>
    <s v="CUST017"/>
    <s v="Customer 2"/>
    <s v="Product B"/>
    <d v="2026-01-23T18:04:54"/>
    <n v="5045.24"/>
    <s v="Product Quality"/>
    <x v="0"/>
    <n v="-48"/>
    <s v="Sarah Lee"/>
  </r>
  <r>
    <s v="DIS00016"/>
    <s v="INV5282"/>
    <s v="CUST006"/>
    <s v="Customer 80"/>
    <s v="Product E"/>
    <d v="2025-08-09T18:04:54"/>
    <n v="10913.59"/>
    <s v="Documentation Error"/>
    <x v="2"/>
    <n v="119"/>
    <s v="Mike Johnson"/>
  </r>
  <r>
    <s v="DIS00017"/>
    <s v="INV9680"/>
    <s v="CUST001"/>
    <s v="Customer 40"/>
    <s v="Product G"/>
    <d v="2026-01-01T18:04:54"/>
    <n v="9447.08"/>
    <s v="Pricing Error"/>
    <x v="0"/>
    <n v="-26"/>
    <s v="Jane Smith"/>
  </r>
  <r>
    <s v="DIS00019"/>
    <s v="INV3255"/>
    <s v="CUST003"/>
    <s v="Customer 20"/>
    <s v="Product F"/>
    <d v="2025-12-02T18:04:54"/>
    <n v="43187.7"/>
    <s v="Pricing Error"/>
    <x v="0"/>
    <n v="4"/>
    <s v="John Doe"/>
  </r>
  <r>
    <s v="DIS00020"/>
    <s v="INV1098"/>
    <s v="CUST025"/>
    <s v="Customer 93"/>
    <s v="Product B"/>
    <d v="2025-12-29T18:04:54"/>
    <n v="8579.2199999999993"/>
    <s v="Pricing Error"/>
    <x v="0"/>
    <n v="-23"/>
    <s v="Jane Smith"/>
  </r>
  <r>
    <s v="DIS00026"/>
    <s v="INV3368"/>
    <s v="CUST008"/>
    <s v="Customer 16"/>
    <s v="Product F"/>
    <d v="2025-11-04T18:04:54"/>
    <n v="24324.28"/>
    <s v="Delivery Issue"/>
    <x v="2"/>
    <n v="32"/>
    <s v="Sarah Lee"/>
  </r>
  <r>
    <s v="DIS00027"/>
    <s v="INV4769"/>
    <s v="CUST030"/>
    <s v="Customer 22"/>
    <s v="Product B"/>
    <d v="2025-10-24T18:04:54"/>
    <n v="923.48"/>
    <s v="Product Quality"/>
    <x v="0"/>
    <n v="43"/>
    <s v="Jane Smith"/>
  </r>
  <r>
    <s v="DIS00031"/>
    <s v="INV6188"/>
    <s v="CUST015"/>
    <s v="Customer 94"/>
    <s v="Product F"/>
    <d v="2025-07-29T18:04:54"/>
    <n v="33834.11"/>
    <s v="Pricing Error"/>
    <x v="0"/>
    <n v="130"/>
    <s v="Sarah Lee"/>
  </r>
  <r>
    <s v="DIS00033"/>
    <s v="INV7303"/>
    <s v="CUST027"/>
    <s v="Customer 84"/>
    <s v="Product D"/>
    <d v="2025-12-30T18:04:54"/>
    <n v="18104.91"/>
    <s v="Product Quality"/>
    <x v="1"/>
    <n v="-24"/>
    <s v="Jane Smith"/>
  </r>
  <r>
    <s v="DIS00034"/>
    <s v="INV4913"/>
    <s v="CUST011"/>
    <s v="Customer 44"/>
    <s v="Product E"/>
    <d v="2025-12-21T18:04:54"/>
    <n v="21962.17"/>
    <s v="Delivery Issue"/>
    <x v="1"/>
    <n v="-15"/>
    <s v="Tom Wilson"/>
  </r>
  <r>
    <s v="DIS00035"/>
    <s v="INV1417"/>
    <s v="CUST019"/>
    <s v="Customer 7"/>
    <s v="Product D"/>
    <d v="2025-07-21T18:04:54"/>
    <n v="18752.28"/>
    <s v="Product Quality"/>
    <x v="0"/>
    <n v="138"/>
    <s v="Jane Smith"/>
  </r>
  <r>
    <s v="DIS00038"/>
    <s v="INV3782"/>
    <s v="CUST020"/>
    <s v="Customer 83"/>
    <s v="Product B"/>
    <d v="2025-08-15T18:04:54"/>
    <n v="2714.51"/>
    <s v="Delivery Issue"/>
    <x v="1"/>
    <n v="113"/>
    <s v="Tom Wilson"/>
  </r>
  <r>
    <s v="DIS00039"/>
    <s v="INV2062"/>
    <s v="CUST013"/>
    <s v="Customer 53"/>
    <s v="Product B"/>
    <d v="2025-09-20T18:04:54"/>
    <n v="8837.16"/>
    <s v="Quantity Discrepancy"/>
    <x v="2"/>
    <n v="77"/>
    <s v="Jane Smith"/>
  </r>
  <r>
    <s v="DIS00040"/>
    <s v="INV7731"/>
    <s v="CUST009"/>
    <s v="Customer 74"/>
    <s v="Product B"/>
    <d v="2025-12-06T18:04:54"/>
    <n v="24901.98"/>
    <s v="Delivery Issue"/>
    <x v="0"/>
    <n v="0"/>
    <s v="Sarah Lee"/>
  </r>
  <r>
    <s v="DIS00043"/>
    <s v="INV4072"/>
    <s v="CUST003"/>
    <s v="Customer 77"/>
    <s v="Product D"/>
    <d v="2025-08-05T18:04:54"/>
    <n v="28494.26"/>
    <s v="Product Quality"/>
    <x v="2"/>
    <n v="123"/>
    <s v="John Doe"/>
  </r>
  <r>
    <s v="DIS00044"/>
    <s v="INV5175"/>
    <s v="CUST022"/>
    <s v="Customer 85"/>
    <s v="Product C"/>
    <d v="2025-10-24T18:04:54"/>
    <n v="14209.9"/>
    <s v="Tax Calculation Error"/>
    <x v="0"/>
    <n v="43"/>
    <s v="Sarah Lee"/>
  </r>
  <r>
    <s v="DIS00045"/>
    <s v="INV9053"/>
    <s v="CUST003"/>
    <s v="Customer 16"/>
    <s v="Product G"/>
    <d v="2025-12-24T18:04:54"/>
    <n v="18029.78"/>
    <s v="Pricing Error"/>
    <x v="1"/>
    <n v="-18"/>
    <s v="John Doe"/>
  </r>
  <r>
    <s v="DIS00046"/>
    <s v="INV7819"/>
    <s v="CUST026"/>
    <s v="Customer 8"/>
    <s v="Product B"/>
    <d v="2025-06-30T18:04:54"/>
    <n v="24252.47"/>
    <s v="Product Quality"/>
    <x v="0"/>
    <n v="159"/>
    <s v="Sarah Lee"/>
  </r>
  <r>
    <s v="DIS00048"/>
    <s v="INV8418"/>
    <s v="CUST013"/>
    <s v="Customer 5"/>
    <s v="Product G"/>
    <d v="2025-11-07T18:04:54"/>
    <n v="19587.07"/>
    <s v="Pricing Error"/>
    <x v="2"/>
    <n v="29"/>
    <s v="John Doe"/>
  </r>
  <r>
    <s v="DIS00049"/>
    <s v="INV7970"/>
    <s v="CUST027"/>
    <s v="Customer 49"/>
    <s v="Product E"/>
    <d v="2025-10-05T18:04:54"/>
    <n v="10659.76"/>
    <s v="Product Quality"/>
    <x v="0"/>
    <n v="62"/>
    <s v="John Doe"/>
  </r>
  <r>
    <s v="DIS00050"/>
    <s v="INV6989"/>
    <s v="CUST003"/>
    <s v="Customer 53"/>
    <s v="Product G"/>
    <d v="2025-10-25T18:04:54"/>
    <n v="29271.21"/>
    <s v="Documentation Error"/>
    <x v="1"/>
    <n v="42"/>
    <s v="Tom Wilson"/>
  </r>
  <r>
    <s v="DIS00051"/>
    <s v="INV5780"/>
    <s v="CUST013"/>
    <s v="Customer 4"/>
    <s v="Product F"/>
    <d v="2025-09-06T18:04:54"/>
    <n v="12037.34"/>
    <s v="Pricing Error"/>
    <x v="0"/>
    <n v="91"/>
    <s v="John Doe"/>
  </r>
  <r>
    <s v="DIS00053"/>
    <s v="INV7881"/>
    <s v="CUST006"/>
    <s v="Customer 50"/>
    <s v="Product B"/>
    <d v="2025-08-21T18:04:54"/>
    <n v="12363.18"/>
    <s v="Product Quality"/>
    <x v="0"/>
    <n v="107"/>
    <s v="Jane Smith"/>
  </r>
  <r>
    <s v="DIS00054"/>
    <s v="INV6115"/>
    <s v="CUST030"/>
    <s v="Customer 51"/>
    <s v="Product A"/>
    <d v="2025-07-23T18:04:54"/>
    <n v="9159.5400000000009"/>
    <s v="Delivery Issue"/>
    <x v="2"/>
    <n v="136"/>
    <s v="Tom Wilson"/>
  </r>
  <r>
    <s v="DIS00055"/>
    <s v="INV8941"/>
    <s v="CUST021"/>
    <s v="Customer 66"/>
    <s v="Product E"/>
    <d v="2025-07-11T18:04:54"/>
    <n v="18404.84"/>
    <s v="Pricing Error"/>
    <x v="0"/>
    <n v="148"/>
    <s v="Mike Johnson"/>
  </r>
  <r>
    <s v="DIS00057"/>
    <s v="INV7981"/>
    <s v="CUST001"/>
    <s v="Customer 5"/>
    <s v="Product A"/>
    <d v="2025-10-11T18:04:54"/>
    <n v="3553.36"/>
    <s v="Pricing Error"/>
    <x v="0"/>
    <n v="56"/>
    <s v="Sarah Lee"/>
  </r>
  <r>
    <s v="DIS00058"/>
    <s v="INV6240"/>
    <s v="CUST022"/>
    <s v="Customer 56"/>
    <s v="Product F"/>
    <d v="2025-10-22T18:04:54"/>
    <n v="13367.7"/>
    <s v="Pricing Error"/>
    <x v="2"/>
    <n v="45"/>
    <s v="Mike Johnson"/>
  </r>
  <r>
    <s v="DIS00059"/>
    <s v="INV1638"/>
    <s v="CUST024"/>
    <s v="Customer 86"/>
    <s v="Product F"/>
    <d v="2025-09-27T18:04:54"/>
    <n v="7383.07"/>
    <s v="Pricing Error"/>
    <x v="0"/>
    <n v="70"/>
    <s v="Jane Smith"/>
  </r>
  <r>
    <s v="DIS00060"/>
    <s v="INV6122"/>
    <s v="CUST015"/>
    <s v="Customer 23"/>
    <s v="Product F"/>
    <d v="2025-07-29T18:04:54"/>
    <n v="4183.3100000000004"/>
    <s v="Pricing Error"/>
    <x v="0"/>
    <n v="130"/>
    <s v="Mike Johnson"/>
  </r>
  <r>
    <s v="DIS00061"/>
    <s v="INV2062"/>
    <s v="CUST025"/>
    <s v="Customer 17"/>
    <s v="Product G"/>
    <d v="2025-08-23T18:04:54"/>
    <n v="3504.76"/>
    <s v="Product Quality"/>
    <x v="0"/>
    <n v="105"/>
    <s v="Jane Smith"/>
  </r>
  <r>
    <s v="DIS00063"/>
    <s v="INV1876"/>
    <s v="CUST006"/>
    <s v="Customer 33"/>
    <s v="Product E"/>
    <d v="2025-10-11T18:04:54"/>
    <n v="9911.18"/>
    <s v="Delivery Issue"/>
    <x v="0"/>
    <n v="56"/>
    <s v="Tom Wilson"/>
  </r>
  <r>
    <s v="DIS00064"/>
    <s v="INV9434"/>
    <s v="CUST008"/>
    <s v="Customer 36"/>
    <s v="Product G"/>
    <d v="2025-10-11T18:04:54"/>
    <n v="4414.18"/>
    <s v="Documentation Error"/>
    <x v="0"/>
    <n v="56"/>
    <s v="Jane Smith"/>
  </r>
  <r>
    <s v="DIS00065"/>
    <s v="INV5289"/>
    <s v="CUST015"/>
    <s v="Customer 75"/>
    <s v="Product B"/>
    <d v="2025-08-26T18:04:54"/>
    <n v="412.95"/>
    <s v="Product Quality"/>
    <x v="2"/>
    <n v="102"/>
    <s v="Mike Johnson"/>
  </r>
  <r>
    <s v="DIS00068"/>
    <s v="INV2604"/>
    <s v="CUST030"/>
    <s v="Customer 60"/>
    <s v="Product D"/>
    <d v="2025-09-18T18:04:54"/>
    <n v="904.59"/>
    <s v="Documentation Error"/>
    <x v="0"/>
    <n v="79"/>
    <s v="Jane Smith"/>
  </r>
  <r>
    <s v="DIS00070"/>
    <s v="INV2065"/>
    <s v="CUST025"/>
    <s v="Customer 18"/>
    <s v="Product G"/>
    <d v="2025-07-22T18:04:54"/>
    <n v="51373.29"/>
    <s v="Quantity Discrepancy"/>
    <x v="0"/>
    <n v="137"/>
    <s v="Mike Johnson"/>
  </r>
  <r>
    <s v="DIS00071"/>
    <s v="INV5033"/>
    <s v="CUST014"/>
    <s v="Customer 53"/>
    <s v="Product C"/>
    <d v="2025-11-18T18:04:54"/>
    <n v="16868.740000000002"/>
    <s v="Delivery Issue"/>
    <x v="0"/>
    <n v="18"/>
    <s v="Mike Johnson"/>
  </r>
  <r>
    <s v="DIS00073"/>
    <s v="INV7371"/>
    <s v="CUST013"/>
    <s v="Customer 88"/>
    <s v="Product D"/>
    <d v="2025-09-04T18:04:54"/>
    <n v="15597.78"/>
    <s v="Documentation Error"/>
    <x v="0"/>
    <n v="93"/>
    <s v="Tom Wilson"/>
  </r>
  <r>
    <s v="DIS00075"/>
    <s v="INV8783"/>
    <s v="CUST030"/>
    <s v="Customer 82"/>
    <s v="Product A"/>
    <d v="2025-10-28T18:04:54"/>
    <n v="4221.25"/>
    <s v="Product Quality"/>
    <x v="1"/>
    <n v="39"/>
    <s v="John Doe"/>
  </r>
  <r>
    <s v="DIS00076"/>
    <s v="INV6959"/>
    <s v="CUST010"/>
    <s v="Customer 92"/>
    <s v="Product G"/>
    <d v="2025-11-06T18:04:54"/>
    <n v="26578.51"/>
    <s v="Product Quality"/>
    <x v="1"/>
    <n v="30"/>
    <s v="Jane Smith"/>
  </r>
  <r>
    <s v="DIS00077"/>
    <s v="INV4417"/>
    <s v="CUST014"/>
    <s v="Customer 36"/>
    <s v="Product F"/>
    <d v="2025-12-16T18:04:54"/>
    <n v="10986.17"/>
    <s v="Pricing Error"/>
    <x v="0"/>
    <n v="-10"/>
    <s v="John Doe"/>
  </r>
  <r>
    <s v="DIS00078"/>
    <s v="INV4507"/>
    <s v="CUST025"/>
    <s v="Customer 26"/>
    <s v="Product A"/>
    <d v="2025-08-02T18:04:54"/>
    <n v="12020.44"/>
    <s v="Pricing Error"/>
    <x v="0"/>
    <n v="126"/>
    <s v="Mike Johnson"/>
  </r>
  <r>
    <s v="DIS00080"/>
    <s v="INV6588"/>
    <s v="CUST017"/>
    <s v="Customer 71"/>
    <s v="Product A"/>
    <d v="2025-12-11T18:04:54"/>
    <n v="1746.94"/>
    <s v="Pricing Error"/>
    <x v="0"/>
    <n v="-5"/>
    <s v="Sarah Lee"/>
  </r>
  <r>
    <s v="DIS00081"/>
    <s v="INV2759"/>
    <s v="CUST013"/>
    <s v="Customer 94"/>
    <s v="Product G"/>
    <d v="2025-11-09T18:04:54"/>
    <n v="16334.13"/>
    <s v="Pricing Error"/>
    <x v="0"/>
    <n v="27"/>
    <s v="Mike Johnson"/>
  </r>
  <r>
    <s v="DIS00083"/>
    <s v="INV5873"/>
    <s v="CUST010"/>
    <s v="Customer 83"/>
    <s v="Product F"/>
    <d v="2025-11-18T18:04:54"/>
    <n v="4836.75"/>
    <s v="Pricing Error"/>
    <x v="0"/>
    <n v="18"/>
    <s v="Jane Smith"/>
  </r>
  <r>
    <s v="DIS00084"/>
    <s v="INV9519"/>
    <s v="CUST022"/>
    <s v="Customer 67"/>
    <s v="Product C"/>
    <d v="2025-11-12T18:04:54"/>
    <n v="3133.53"/>
    <s v="Pricing Error"/>
    <x v="0"/>
    <n v="24"/>
    <s v="John Doe"/>
  </r>
  <r>
    <s v="DIS00085"/>
    <s v="INV5547"/>
    <s v="CUST020"/>
    <s v="Customer 37"/>
    <s v="Product F"/>
    <d v="2025-10-25T18:04:54"/>
    <n v="35813.230000000003"/>
    <s v="Product Quality"/>
    <x v="2"/>
    <n v="42"/>
    <s v="Tom Wilson"/>
  </r>
  <r>
    <s v="DIS00086"/>
    <s v="INV2308"/>
    <s v="CUST028"/>
    <s v="Customer 82"/>
    <s v="Product B"/>
    <d v="2025-11-28T18:04:54"/>
    <n v="30884.85"/>
    <s v="Documentation Error"/>
    <x v="0"/>
    <n v="8"/>
    <s v="John Doe"/>
  </r>
  <r>
    <s v="DIS00089"/>
    <s v="INV6475"/>
    <s v="CUST009"/>
    <s v="Customer 38"/>
    <s v="Product B"/>
    <d v="2025-07-08T18:04:54"/>
    <n v="5899.32"/>
    <s v="Quantity Discrepancy"/>
    <x v="0"/>
    <n v="151"/>
    <s v="John Doe"/>
  </r>
  <r>
    <s v="DIS00090"/>
    <s v="INV1645"/>
    <s v="CUST027"/>
    <s v="Customer 40"/>
    <s v="Product B"/>
    <d v="2025-12-15T18:04:54"/>
    <n v="4922.42"/>
    <s v="Pricing Error"/>
    <x v="0"/>
    <n v="-9"/>
    <s v="Sarah Lee"/>
  </r>
  <r>
    <s v="DIS00094"/>
    <s v="INV4549"/>
    <s v="CUST006"/>
    <s v="Customer 98"/>
    <s v="Product D"/>
    <d v="2025-09-20T18:04:54"/>
    <n v="5069.59"/>
    <s v="Pricing Error"/>
    <x v="0"/>
    <n v="77"/>
    <s v="Mike Johnson"/>
  </r>
  <r>
    <s v="DIS00097"/>
    <s v="INV9007"/>
    <s v="CUST018"/>
    <s v="Customer 59"/>
    <s v="Product G"/>
    <d v="2025-12-02T18:04:54"/>
    <n v="3735.5"/>
    <s v="Product Quality"/>
    <x v="0"/>
    <n v="4"/>
    <s v="Tom Wilson"/>
  </r>
  <r>
    <s v="DIS00098"/>
    <s v="INV4223"/>
    <s v="CUST003"/>
    <s v="Customer 60"/>
    <s v="Product E"/>
    <d v="2025-09-29T18:04:54"/>
    <n v="16715.439999999999"/>
    <s v="Documentation Error"/>
    <x v="0"/>
    <n v="68"/>
    <s v="Jane Smith"/>
  </r>
  <r>
    <s v="DIS00099"/>
    <s v="INV6468"/>
    <s v="CUST022"/>
    <s v="Customer 25"/>
    <s v="Product E"/>
    <d v="2025-11-23T18:04:54"/>
    <n v="12412.11"/>
    <s v="Delivery Issue"/>
    <x v="2"/>
    <n v="13"/>
    <s v="Jane Smith"/>
  </r>
  <r>
    <s v="DIS00100"/>
    <s v="INV5346"/>
    <s v="CUST023"/>
    <s v="Customer 13"/>
    <s v="Product E"/>
    <d v="2025-12-02T18:04:54"/>
    <n v="10289.370000000001"/>
    <s v="Delivery Issue"/>
    <x v="1"/>
    <n v="4"/>
    <s v="Jane Smith"/>
  </r>
  <r>
    <s v="DIS00102"/>
    <s v="INV5388"/>
    <s v="CUST025"/>
    <s v="Customer 48"/>
    <s v="Product A"/>
    <d v="2025-10-09T18:04:54"/>
    <n v="25840.59"/>
    <s v="Pricing Error"/>
    <x v="0"/>
    <n v="58"/>
    <s v="Tom Wilson"/>
  </r>
  <r>
    <s v="DIS00103"/>
    <s v="INV5805"/>
    <s v="CUST007"/>
    <s v="Customer 56"/>
    <s v="Product G"/>
    <d v="2025-09-04T18:04:54"/>
    <n v="5787.52"/>
    <s v="Quantity Discrepancy"/>
    <x v="2"/>
    <n v="93"/>
    <s v="Mike Johnson"/>
  </r>
  <r>
    <s v="DIS00104"/>
    <s v="INV6429"/>
    <s v="CUST021"/>
    <s v="Customer 74"/>
    <s v="Product C"/>
    <d v="2025-08-22T18:04:54"/>
    <n v="7839.54"/>
    <s v="Delivery Issue"/>
    <x v="2"/>
    <n v="106"/>
    <s v="Jane Smith"/>
  </r>
  <r>
    <s v="DIS00107"/>
    <s v="INV1954"/>
    <s v="CUST002"/>
    <s v="Customer 88"/>
    <s v="Product D"/>
    <d v="2025-10-12T18:04:54"/>
    <n v="6635.15"/>
    <s v="Quantity Discrepancy"/>
    <x v="2"/>
    <n v="55"/>
    <s v="Mike Johnson"/>
  </r>
  <r>
    <s v="DIS00108"/>
    <s v="INV1317"/>
    <s v="CUST029"/>
    <s v="Customer 58"/>
    <s v="Product C"/>
    <d v="2025-12-06T18:04:54"/>
    <n v="32773.089999999997"/>
    <s v="Pricing Error"/>
    <x v="2"/>
    <n v="0"/>
    <s v="Jane Smith"/>
  </r>
  <r>
    <s v="DIS00109"/>
    <s v="INV2704"/>
    <s v="CUST013"/>
    <s v="Customer 45"/>
    <s v="Product A"/>
    <d v="2025-08-14T18:04:54"/>
    <n v="24639.19"/>
    <s v="Quantity Discrepancy"/>
    <x v="0"/>
    <n v="114"/>
    <s v="Tom Wilson"/>
  </r>
  <r>
    <s v="DIS00110"/>
    <s v="INV6150"/>
    <s v="CUST023"/>
    <s v="Customer 42"/>
    <s v="Product B"/>
    <d v="2025-12-31T18:04:54"/>
    <n v="7554.52"/>
    <s v="Quantity Discrepancy"/>
    <x v="2"/>
    <n v="-25"/>
    <s v="Mike Johnson"/>
  </r>
  <r>
    <s v="DIS00111"/>
    <s v="INV6343"/>
    <s v="CUST013"/>
    <s v="Customer 46"/>
    <s v="Product C"/>
    <d v="2025-12-22T18:04:54"/>
    <n v="7179.84"/>
    <s v="Delivery Issue"/>
    <x v="0"/>
    <n v="-16"/>
    <s v="John Doe"/>
  </r>
  <r>
    <s v="DIS00112"/>
    <s v="INV6352"/>
    <s v="CUST002"/>
    <s v="Customer 63"/>
    <s v="Product D"/>
    <d v="2025-08-04T18:04:54"/>
    <n v="7828.95"/>
    <s v="Documentation Error"/>
    <x v="0"/>
    <n v="124"/>
    <s v="Sarah Lee"/>
  </r>
  <r>
    <s v="DIS00113"/>
    <s v="INV2040"/>
    <s v="CUST012"/>
    <s v="Customer 22"/>
    <s v="Product A"/>
    <d v="2025-09-25T18:04:54"/>
    <n v="9693.17"/>
    <s v="Documentation Error"/>
    <x v="1"/>
    <n v="72"/>
    <s v="Jane Smith"/>
  </r>
  <r>
    <s v="DIS00115"/>
    <s v="INV3844"/>
    <s v="CUST029"/>
    <s v="Customer 75"/>
    <s v="Product D"/>
    <d v="2025-08-28T18:04:54"/>
    <n v="32698.15"/>
    <s v="Delivery Issue"/>
    <x v="0"/>
    <n v="100"/>
    <s v="Jane Smith"/>
  </r>
  <r>
    <s v="DIS00117"/>
    <s v="INV9984"/>
    <s v="CUST024"/>
    <s v="Customer 12"/>
    <s v="Product B"/>
    <d v="2025-12-15T18:04:54"/>
    <n v="6373.09"/>
    <s v="Pricing Error"/>
    <x v="0"/>
    <n v="-9"/>
    <s v="Sarah Lee"/>
  </r>
  <r>
    <s v="DIS00120"/>
    <s v="INV6420"/>
    <s v="CUST025"/>
    <s v="Customer 33"/>
    <s v="Product D"/>
    <d v="2025-09-09T18:04:54"/>
    <n v="2173.59"/>
    <s v="Product Quality"/>
    <x v="0"/>
    <n v="88"/>
    <s v="John Doe"/>
  </r>
  <r>
    <s v="DIS00122"/>
    <s v="INV4174"/>
    <s v="CUST002"/>
    <s v="Customer 38"/>
    <s v="Product G"/>
    <d v="2025-09-15T18:04:54"/>
    <n v="4695.37"/>
    <s v="Documentation Error"/>
    <x v="0"/>
    <n v="82"/>
    <s v="Jane Smith"/>
  </r>
  <r>
    <s v="DIS00124"/>
    <s v="INV1207"/>
    <s v="CUST004"/>
    <s v="Customer 6"/>
    <s v="Product B"/>
    <d v="2025-06-24T18:04:54"/>
    <n v="14536.27"/>
    <s v="Documentation Error"/>
    <x v="0"/>
    <n v="165"/>
    <s v="Jane Smith"/>
  </r>
  <r>
    <s v="DIS00128"/>
    <s v="INV2394"/>
    <s v="CUST026"/>
    <s v="Customer 12"/>
    <s v="Product C"/>
    <d v="2025-11-06T18:04:54"/>
    <n v="22392.53"/>
    <s v="Delivery Issue"/>
    <x v="0"/>
    <n v="30"/>
    <s v="Tom Wilson"/>
  </r>
  <r>
    <s v="DIS00131"/>
    <s v="INV1269"/>
    <s v="CUST016"/>
    <s v="Customer 74"/>
    <s v="Product E"/>
    <d v="2025-12-05T18:04:54"/>
    <n v="3547.82"/>
    <s v="Pricing Error"/>
    <x v="0"/>
    <n v="1"/>
    <s v="Jane Smith"/>
  </r>
  <r>
    <s v="DIS00132"/>
    <s v="INV8029"/>
    <s v="CUST020"/>
    <s v="Customer 28"/>
    <s v="Product A"/>
    <d v="2025-09-22T18:04:54"/>
    <n v="4853.4399999999996"/>
    <s v="Quantity Discrepancy"/>
    <x v="0"/>
    <n v="75"/>
    <s v="Mike Johnson"/>
  </r>
  <r>
    <s v="DIS00134"/>
    <s v="INV2229"/>
    <s v="CUST012"/>
    <s v="Customer 20"/>
    <s v="Product E"/>
    <d v="2025-08-04T18:04:54"/>
    <n v="924.52"/>
    <s v="Pricing Error"/>
    <x v="0"/>
    <n v="124"/>
    <s v="Jane Smith"/>
  </r>
  <r>
    <s v="DIS00136"/>
    <s v="INV2198"/>
    <s v="CUST002"/>
    <s v="Customer 65"/>
    <s v="Product G"/>
    <d v="2025-12-04T18:04:54"/>
    <n v="5332.09"/>
    <s v="Pricing Error"/>
    <x v="1"/>
    <n v="2"/>
    <s v="Jane Smith"/>
  </r>
  <r>
    <s v="DIS00137"/>
    <s v="INV5440"/>
    <s v="CUST014"/>
    <s v="Customer 68"/>
    <s v="Product A"/>
    <d v="2025-12-06T18:04:54"/>
    <n v="3296.86"/>
    <s v="Documentation Error"/>
    <x v="0"/>
    <n v="0"/>
    <s v="John Doe"/>
  </r>
  <r>
    <s v="DIS00139"/>
    <s v="INV5114"/>
    <s v="CUST006"/>
    <s v="Customer 98"/>
    <s v="Product B"/>
    <d v="2025-10-12T18:04:54"/>
    <n v="25443.87"/>
    <s v="Delivery Issue"/>
    <x v="0"/>
    <n v="55"/>
    <s v="Tom Wilson"/>
  </r>
  <r>
    <s v="DIS00140"/>
    <s v="INV8232"/>
    <s v="CUST012"/>
    <s v="Customer 71"/>
    <s v="Product G"/>
    <d v="2025-07-20T18:04:54"/>
    <n v="15976.32"/>
    <s v="Product Quality"/>
    <x v="0"/>
    <n v="139"/>
    <s v="Tom Wilson"/>
  </r>
  <r>
    <s v="DIS00142"/>
    <s v="INV5399"/>
    <s v="CUST005"/>
    <s v="Customer 79"/>
    <s v="Product D"/>
    <d v="2025-10-06T18:04:54"/>
    <n v="35322.269999999997"/>
    <s v="Pricing Error"/>
    <x v="0"/>
    <n v="61"/>
    <s v="Sarah Lee"/>
  </r>
  <r>
    <s v="DIS00143"/>
    <s v="INV1406"/>
    <s v="CUST011"/>
    <s v="Customer 80"/>
    <s v="Product G"/>
    <d v="2025-08-05T18:04:54"/>
    <n v="28629.759999999998"/>
    <s v="Tax Calculation Error"/>
    <x v="0"/>
    <n v="123"/>
    <s v="Tom Wilson"/>
  </r>
  <r>
    <s v="DIS00144"/>
    <s v="INV7012"/>
    <s v="CUST004"/>
    <s v="Customer 52"/>
    <s v="Product F"/>
    <d v="2025-10-25T18:04:54"/>
    <n v="1936.09"/>
    <s v="Quantity Discrepancy"/>
    <x v="0"/>
    <n v="42"/>
    <s v="Mike Johnson"/>
  </r>
  <r>
    <s v="DIS00145"/>
    <s v="INV7787"/>
    <s v="CUST026"/>
    <s v="Customer 89"/>
    <s v="Product F"/>
    <d v="2025-12-29T18:04:54"/>
    <n v="4850.26"/>
    <s v="Product Quality"/>
    <x v="0"/>
    <n v="-23"/>
    <s v="Mike Johnson"/>
  </r>
  <r>
    <s v="DIS00146"/>
    <s v="INV9636"/>
    <s v="CUST010"/>
    <s v="Customer 56"/>
    <s v="Product D"/>
    <d v="2025-07-16T18:04:54"/>
    <n v="11454.38"/>
    <s v="Pricing Error"/>
    <x v="2"/>
    <n v="143"/>
    <s v="Sarah Lee"/>
  </r>
  <r>
    <s v="DIS00147"/>
    <s v="INV8285"/>
    <s v="CUST021"/>
    <s v="Customer 86"/>
    <s v="Product D"/>
    <d v="2025-10-11T18:04:54"/>
    <n v="23458.71"/>
    <s v="Pricing Error"/>
    <x v="0"/>
    <n v="56"/>
    <s v="John Doe"/>
  </r>
  <r>
    <s v="DIS00149"/>
    <s v="INV1630"/>
    <s v="CUST021"/>
    <s v="Customer 81"/>
    <s v="Product F"/>
    <d v="2025-09-23T18:04:54"/>
    <n v="19519.89"/>
    <s v="Pricing Error"/>
    <x v="2"/>
    <n v="74"/>
    <s v="Tom Wilson"/>
  </r>
  <r>
    <s v="DIS00151"/>
    <s v="INV7764"/>
    <s v="CUST014"/>
    <s v="Customer 36"/>
    <s v="Product E"/>
    <d v="2025-11-12T18:04:54"/>
    <n v="61214.8"/>
    <s v="Product Quality"/>
    <x v="0"/>
    <n v="24"/>
    <s v="John Doe"/>
  </r>
  <r>
    <s v="DIS00153"/>
    <s v="INV4874"/>
    <s v="CUST002"/>
    <s v="Customer 87"/>
    <s v="Product F"/>
    <d v="2025-10-07T18:04:54"/>
    <n v="3235.44"/>
    <s v="Pricing Error"/>
    <x v="0"/>
    <n v="60"/>
    <s v="Sarah Lee"/>
  </r>
  <r>
    <s v="DIS00154"/>
    <s v="INV1207"/>
    <s v="CUST010"/>
    <s v="Customer 62"/>
    <s v="Product F"/>
    <d v="2025-07-08T18:04:54"/>
    <n v="7303.65"/>
    <s v="Product Quality"/>
    <x v="0"/>
    <n v="151"/>
    <s v="John Doe"/>
  </r>
  <r>
    <s v="DIS00155"/>
    <s v="INV8446"/>
    <s v="CUST028"/>
    <s v="Customer 5"/>
    <s v="Product D"/>
    <d v="2025-08-18T18:04:54"/>
    <n v="551.74"/>
    <s v="Delivery Issue"/>
    <x v="0"/>
    <n v="110"/>
    <s v="Sarah Lee"/>
  </r>
  <r>
    <s v="DIS00158"/>
    <s v="INV9785"/>
    <s v="CUST013"/>
    <s v="Customer 35"/>
    <s v="Product F"/>
    <d v="2025-12-18T18:04:54"/>
    <n v="13080.04"/>
    <s v="Delivery Issue"/>
    <x v="0"/>
    <n v="-12"/>
    <s v="Jane Smith"/>
  </r>
  <r>
    <s v="DIS00160"/>
    <s v="INV5917"/>
    <s v="CUST014"/>
    <s v="Customer 52"/>
    <s v="Product C"/>
    <d v="2025-07-13T18:04:54"/>
    <n v="11077.05"/>
    <s v="Product Quality"/>
    <x v="0"/>
    <n v="146"/>
    <s v="Mike Johnson"/>
  </r>
  <r>
    <s v="DIS00161"/>
    <s v="INV8340"/>
    <s v="CUST028"/>
    <s v="Customer 12"/>
    <s v="Product D"/>
    <d v="2025-11-30T18:04:54"/>
    <n v="1249.78"/>
    <s v="Pricing Error"/>
    <x v="0"/>
    <n v="6"/>
    <s v="Tom Wilson"/>
  </r>
  <r>
    <s v="DIS00164"/>
    <s v="INV2403"/>
    <s v="CUST020"/>
    <s v="Customer 93"/>
    <s v="Product D"/>
    <d v="2025-07-01T18:04:54"/>
    <n v="23268.02"/>
    <s v="Pricing Error"/>
    <x v="0"/>
    <n v="158"/>
    <s v="Sarah Lee"/>
  </r>
  <r>
    <s v="DIS00165"/>
    <s v="INV2549"/>
    <s v="CUST007"/>
    <s v="Customer 86"/>
    <s v="Product E"/>
    <d v="2025-11-17T18:04:54"/>
    <n v="30844.1"/>
    <s v="Pricing Error"/>
    <x v="0"/>
    <n v="19"/>
    <s v="Jane Smith"/>
  </r>
  <r>
    <s v="DIS00166"/>
    <s v="INV7356"/>
    <s v="CUST026"/>
    <s v="Customer 85"/>
    <s v="Product E"/>
    <d v="2025-09-05T18:04:54"/>
    <n v="13239.7"/>
    <s v="Product Quality"/>
    <x v="0"/>
    <n v="92"/>
    <s v="Jane Smith"/>
  </r>
  <r>
    <s v="DIS00167"/>
    <s v="INV8961"/>
    <s v="CUST030"/>
    <s v="Customer 68"/>
    <s v="Product B"/>
    <d v="2025-12-30T18:04:54"/>
    <n v="29128.12"/>
    <s v="Documentation Error"/>
    <x v="0"/>
    <n v="-24"/>
    <s v="Sarah Lee"/>
  </r>
  <r>
    <s v="DIS00168"/>
    <s v="INV3672"/>
    <s v="CUST009"/>
    <s v="Customer 64"/>
    <s v="Product A"/>
    <d v="2025-10-16T18:04:54"/>
    <n v="10949.31"/>
    <s v="Delivery Issue"/>
    <x v="2"/>
    <n v="51"/>
    <s v="John Doe"/>
  </r>
  <r>
    <s v="DIS00169"/>
    <s v="INV8451"/>
    <s v="CUST011"/>
    <s v="Customer 34"/>
    <s v="Product C"/>
    <d v="2025-11-25T18:04:54"/>
    <n v="72918.899999999994"/>
    <s v="Pricing Error"/>
    <x v="2"/>
    <n v="11"/>
    <s v="John Doe"/>
  </r>
  <r>
    <s v="DIS00171"/>
    <s v="INV6510"/>
    <s v="CUST019"/>
    <s v="Customer 28"/>
    <s v="Product C"/>
    <d v="2025-11-08T18:04:54"/>
    <n v="13577.08"/>
    <s v="Pricing Error"/>
    <x v="2"/>
    <n v="28"/>
    <s v="Mike Johnson"/>
  </r>
  <r>
    <s v="DIS00172"/>
    <s v="INV8504"/>
    <s v="CUST008"/>
    <s v="Customer 25"/>
    <s v="Product A"/>
    <d v="2025-06-18T18:04:54"/>
    <n v="11234.5"/>
    <s v="Pricing Error"/>
    <x v="0"/>
    <n v="171"/>
    <s v="Jane Smith"/>
  </r>
  <r>
    <s v="DIS00174"/>
    <s v="INV8569"/>
    <s v="CUST023"/>
    <s v="Customer 73"/>
    <s v="Product A"/>
    <d v="2025-10-17T18:04:54"/>
    <n v="24361.22"/>
    <s v="Product Quality"/>
    <x v="0"/>
    <n v="50"/>
    <s v="Mike Johnson"/>
  </r>
  <r>
    <s v="DIS00175"/>
    <s v="INV1685"/>
    <s v="CUST017"/>
    <s v="Customer 21"/>
    <s v="Product C"/>
    <d v="2025-10-22T18:04:54"/>
    <n v="9764.83"/>
    <s v="Pricing Error"/>
    <x v="0"/>
    <n v="45"/>
    <s v="Jane Smith"/>
  </r>
  <r>
    <s v="DIS00176"/>
    <s v="INV1301"/>
    <s v="CUST008"/>
    <s v="Customer 7"/>
    <s v="Product G"/>
    <d v="2025-08-09T18:04:54"/>
    <n v="39990.21"/>
    <s v="Pricing Error"/>
    <x v="2"/>
    <n v="119"/>
    <s v="Sarah Lee"/>
  </r>
  <r>
    <s v="DIS00177"/>
    <s v="INV5558"/>
    <s v="CUST020"/>
    <s v="Customer 27"/>
    <s v="Product B"/>
    <d v="2025-09-24T18:04:54"/>
    <n v="6837.45"/>
    <s v="Pricing Error"/>
    <x v="0"/>
    <n v="73"/>
    <s v="Mike Johnson"/>
  </r>
  <r>
    <s v="DIS00180"/>
    <s v="INV2037"/>
    <s v="CUST025"/>
    <s v="Customer 34"/>
    <s v="Product E"/>
    <d v="2026-01-11T18:04:54"/>
    <n v="4114.7299999999996"/>
    <s v="Documentation Error"/>
    <x v="0"/>
    <n v="-36"/>
    <s v="John Doe"/>
  </r>
  <r>
    <s v="DIS00181"/>
    <s v="INV6251"/>
    <s v="CUST020"/>
    <s v="Customer 10"/>
    <s v="Product F"/>
    <d v="2025-07-09T18:04:54"/>
    <n v="19850.95"/>
    <s v="Delivery Issue"/>
    <x v="0"/>
    <n v="150"/>
    <s v="Mike Johnson"/>
  </r>
  <r>
    <s v="DIS00182"/>
    <s v="INV6036"/>
    <s v="CUST020"/>
    <s v="Customer 17"/>
    <s v="Product G"/>
    <d v="2025-12-16T18:04:54"/>
    <n v="7430.58"/>
    <s v="Pricing Error"/>
    <x v="0"/>
    <n v="-10"/>
    <s v="Sarah Lee"/>
  </r>
  <r>
    <s v="DIS00184"/>
    <s v="INV7256"/>
    <s v="CUST023"/>
    <s v="Customer 97"/>
    <s v="Product B"/>
    <d v="2025-09-22T18:04:54"/>
    <n v="76398.570000000007"/>
    <s v="Delivery Issue"/>
    <x v="0"/>
    <n v="75"/>
    <s v="Sarah Lee"/>
  </r>
  <r>
    <s v="DIS00185"/>
    <s v="INV2283"/>
    <s v="CUST020"/>
    <s v="Customer 47"/>
    <s v="Product C"/>
    <d v="2025-11-27T18:04:54"/>
    <n v="30537.63"/>
    <s v="Pricing Error"/>
    <x v="0"/>
    <n v="9"/>
    <s v="Sarah Lee"/>
  </r>
  <r>
    <s v="DIS00186"/>
    <s v="INV6068"/>
    <s v="CUST011"/>
    <s v="Customer 94"/>
    <s v="Product F"/>
    <d v="2025-09-30T18:04:54"/>
    <n v="7663.67"/>
    <s v="Delivery Issue"/>
    <x v="0"/>
    <n v="67"/>
    <s v="Tom Wilson"/>
  </r>
  <r>
    <s v="DIS00187"/>
    <s v="INV8999"/>
    <s v="CUST005"/>
    <s v="Customer 84"/>
    <s v="Product A"/>
    <d v="2025-10-26T18:04:54"/>
    <n v="5096.16"/>
    <s v="Delivery Issue"/>
    <x v="2"/>
    <n v="41"/>
    <s v="Tom Wilson"/>
  </r>
  <r>
    <s v="DIS00188"/>
    <s v="INV3839"/>
    <s v="CUST025"/>
    <s v="Customer 70"/>
    <s v="Product A"/>
    <d v="2025-08-26T18:04:54"/>
    <n v="5134.91"/>
    <s v="Quantity Discrepancy"/>
    <x v="1"/>
    <n v="102"/>
    <s v="Sarah Lee"/>
  </r>
  <r>
    <s v="DIS00189"/>
    <s v="INV5998"/>
    <s v="CUST003"/>
    <s v="Customer 55"/>
    <s v="Product D"/>
    <d v="2025-11-20T18:04:54"/>
    <n v="36221.269999999997"/>
    <s v="Pricing Error"/>
    <x v="0"/>
    <n v="16"/>
    <s v="Jane Smith"/>
  </r>
  <r>
    <s v="DIS00191"/>
    <s v="INV7342"/>
    <s v="CUST021"/>
    <s v="Customer 42"/>
    <s v="Product B"/>
    <d v="2026-01-05T18:04:54"/>
    <n v="54517.09"/>
    <s v="Delivery Issue"/>
    <x v="0"/>
    <n v="-30"/>
    <s v="Sarah Lee"/>
  </r>
  <r>
    <s v="DIS00192"/>
    <s v="INV2938"/>
    <s v="CUST019"/>
    <s v="Customer 89"/>
    <s v="Product E"/>
    <d v="2025-10-20T18:04:54"/>
    <n v="12135.13"/>
    <s v="Product Quality"/>
    <x v="0"/>
    <n v="47"/>
    <s v="Sarah Lee"/>
  </r>
  <r>
    <s v="DIS00194"/>
    <s v="INV4137"/>
    <s v="CUST010"/>
    <s v="Customer 98"/>
    <s v="Product C"/>
    <d v="2025-07-29T18:04:54"/>
    <n v="2437.36"/>
    <s v="Pricing Error"/>
    <x v="1"/>
    <n v="130"/>
    <s v="Tom Wilson"/>
  </r>
  <r>
    <s v="DIS00195"/>
    <s v="INV2854"/>
    <s v="CUST017"/>
    <s v="Customer 64"/>
    <s v="Product G"/>
    <d v="2025-12-14T18:04:54"/>
    <n v="2987.86"/>
    <s v="Delivery Issue"/>
    <x v="1"/>
    <n v="-8"/>
    <s v="Tom Wilson"/>
  </r>
  <r>
    <s v="DIS00196"/>
    <s v="INV2749"/>
    <s v="CUST020"/>
    <s v="Customer 92"/>
    <s v="Product F"/>
    <d v="2025-07-24T18:04:54"/>
    <n v="9559.02"/>
    <s v="Pricing Error"/>
    <x v="2"/>
    <n v="135"/>
    <s v="Mike Johnson"/>
  </r>
  <r>
    <s v="DIS00197"/>
    <s v="INV4970"/>
    <s v="CUST008"/>
    <s v="Customer 44"/>
    <s v="Product A"/>
    <d v="2025-11-21T18:04:54"/>
    <n v="16999.03"/>
    <s v="Delivery Issue"/>
    <x v="0"/>
    <n v="15"/>
    <s v="Jane Smith"/>
  </r>
  <r>
    <s v="DIS00198"/>
    <s v="INV3551"/>
    <s v="CUST012"/>
    <s v="Customer 74"/>
    <s v="Product D"/>
    <d v="2025-07-23T18:04:54"/>
    <n v="14603.17"/>
    <s v="Documentation Error"/>
    <x v="1"/>
    <n v="136"/>
    <s v="Sarah Lee"/>
  </r>
  <r>
    <s v="DIS00199"/>
    <s v="INV7971"/>
    <s v="CUST020"/>
    <s v="Customer 70"/>
    <s v="Product D"/>
    <d v="2025-08-24T18:04:54"/>
    <n v="9622.43"/>
    <s v="Pricing Error"/>
    <x v="2"/>
    <n v="104"/>
    <s v="Jane Smith"/>
  </r>
  <r>
    <s v="DIS00200"/>
    <s v="INV4200"/>
    <s v="CUST023"/>
    <s v="Customer 8"/>
    <s v="Product E"/>
    <d v="2025-07-01T18:04:54"/>
    <n v="14991.89"/>
    <s v="Tax Calculation Error"/>
    <x v="0"/>
    <n v="158"/>
    <s v="Sarah Le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DC210-D2B0-4F7A-83BF-76E81AD45E8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6:B140" firstHeaderRow="1" firstDataRow="1" firstDataCol="1"/>
  <pivotFields count="11">
    <pivotField showAll="0"/>
    <pivotField showAll="0"/>
    <pivotField showAll="0"/>
    <pivotField showAll="0"/>
    <pivotField showAll="0"/>
    <pivotField numFmtId="165" showAll="0"/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isputed_Amount" fld="6" baseField="0" baseItem="0" numFmtId="43"/>
  </dataFields>
  <formats count="7">
    <format dxfId="7">
      <pivotArea outline="0" collapsedLevelsAreSubtotals="1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8" type="button" dataOnly="0" labelOnly="1" outline="0" axis="axisRow" fieldPosition="0"/>
    </format>
    <format dxfId="3">
      <pivotArea dataOnly="0" labelOnly="1" fieldPosition="0">
        <references count="1">
          <reference field="8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8E5F51-1C13-4552-9FCC-FE7D43A3B925}" name="Table1" displayName="Table1" ref="A1:K133" totalsRowShown="0" headerRowDxfId="8" headerRowBorderDxfId="10" tableBorderDxfId="11">
  <autoFilter ref="A1:K133" xr:uid="{028E5F51-1C13-4552-9FCC-FE7D43A3B925}"/>
  <tableColumns count="11">
    <tableColumn id="1" xr3:uid="{80268071-58B6-46B2-A46F-275E624690F6}" name="Dispute_ID"/>
    <tableColumn id="2" xr3:uid="{375B0E05-FE02-476B-BD16-5E83E4618183}" name="Invoice_ID"/>
    <tableColumn id="3" xr3:uid="{5DFDB808-2F0F-491F-8E4E-F247304D2008}" name="Customer_ID"/>
    <tableColumn id="4" xr3:uid="{A0EAA1B5-5696-4895-9A41-8D1B948282D7}" name="Customer_Name"/>
    <tableColumn id="5" xr3:uid="{290641DF-75E3-4CF6-BFDF-838AC2EFC610}" name="Product"/>
    <tableColumn id="6" xr3:uid="{A773C21B-3F9C-4E1D-83B1-EB126C0EF19A}" name="Dispute_Date" dataDxfId="9"/>
    <tableColumn id="7" xr3:uid="{A294DF5F-8585-493E-813B-F70E9DFB3526}" name="Disputed_Amount"/>
    <tableColumn id="8" xr3:uid="{8C638453-3F37-4154-8067-EB03BCA04375}" name="Root_Cause"/>
    <tableColumn id="9" xr3:uid="{155EFF86-1CAC-44E0-909A-4456447B8ED5}" name="Status"/>
    <tableColumn id="10" xr3:uid="{415BCC1D-332B-4C11-B099-5CEF4576BBF5}" name="Days_Open"/>
    <tableColumn id="11" xr3:uid="{E3E9E279-3CE6-48A6-B933-166949AA46D0}" name="Assigned_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200</v>
      </c>
    </row>
    <row r="3" spans="1:2" x14ac:dyDescent="0.35">
      <c r="A3" t="s">
        <v>3</v>
      </c>
      <c r="B3">
        <v>132</v>
      </c>
    </row>
    <row r="4" spans="1:2" x14ac:dyDescent="0.35">
      <c r="A4" t="s">
        <v>4</v>
      </c>
      <c r="B4">
        <v>68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  <c r="B6" t="s">
        <v>8</v>
      </c>
    </row>
    <row r="7" spans="1:2" x14ac:dyDescent="0.35">
      <c r="A7" t="s">
        <v>9</v>
      </c>
      <c r="B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0"/>
  <sheetViews>
    <sheetView tabSelected="1" topLeftCell="A130" workbookViewId="0">
      <selection activeCell="C141" sqref="C141"/>
    </sheetView>
  </sheetViews>
  <sheetFormatPr defaultRowHeight="14.5" x14ac:dyDescent="0.35"/>
  <cols>
    <col min="1" max="1" width="17.26953125" bestFit="1" customWidth="1"/>
    <col min="2" max="2" width="22.7265625" bestFit="1" customWidth="1"/>
    <col min="3" max="3" width="16.36328125" bestFit="1" customWidth="1"/>
    <col min="4" max="4" width="19.54296875" bestFit="1" customWidth="1"/>
    <col min="5" max="5" width="12.1796875" customWidth="1"/>
    <col min="6" max="6" width="17.81640625" bestFit="1" customWidth="1"/>
    <col min="7" max="7" width="18.1796875" customWidth="1"/>
    <col min="8" max="8" width="18.6328125" bestFit="1" customWidth="1"/>
    <col min="9" max="9" width="17.26953125" bestFit="1" customWidth="1"/>
    <col min="10" max="10" width="12.36328125" customWidth="1"/>
    <col min="11" max="11" width="15.81640625" bestFit="1" customWidth="1"/>
  </cols>
  <sheetData>
    <row r="1" spans="1:11" x14ac:dyDescent="0.3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</row>
    <row r="2" spans="1:11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s="2">
        <v>45971.753408423247</v>
      </c>
      <c r="G2">
        <v>30381.21</v>
      </c>
      <c r="H2" t="s">
        <v>27</v>
      </c>
      <c r="I2" t="s">
        <v>28</v>
      </c>
      <c r="J2">
        <v>26</v>
      </c>
      <c r="K2" t="s">
        <v>29</v>
      </c>
    </row>
    <row r="3" spans="1:11" x14ac:dyDescent="0.3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s="2">
        <v>45944.753408423247</v>
      </c>
      <c r="G3">
        <v>79839.27</v>
      </c>
      <c r="H3" t="s">
        <v>27</v>
      </c>
      <c r="I3" t="s">
        <v>35</v>
      </c>
      <c r="J3">
        <v>53</v>
      </c>
      <c r="K3" t="s">
        <v>36</v>
      </c>
    </row>
    <row r="4" spans="1:11" x14ac:dyDescent="0.3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s="2">
        <v>45954.753408423247</v>
      </c>
      <c r="G4">
        <v>3759.62</v>
      </c>
      <c r="H4" t="s">
        <v>42</v>
      </c>
      <c r="I4" t="s">
        <v>28</v>
      </c>
      <c r="J4">
        <v>43</v>
      </c>
      <c r="K4" t="s">
        <v>29</v>
      </c>
    </row>
    <row r="5" spans="1:11" x14ac:dyDescent="0.3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s="2">
        <v>45937.753408423247</v>
      </c>
      <c r="G5">
        <v>709.54</v>
      </c>
      <c r="H5" t="s">
        <v>27</v>
      </c>
      <c r="I5" t="s">
        <v>35</v>
      </c>
      <c r="J5">
        <v>60</v>
      </c>
      <c r="K5" t="s">
        <v>36</v>
      </c>
    </row>
    <row r="6" spans="1:11" x14ac:dyDescent="0.35">
      <c r="A6" t="s">
        <v>48</v>
      </c>
      <c r="B6" t="s">
        <v>49</v>
      </c>
      <c r="C6" t="s">
        <v>50</v>
      </c>
      <c r="D6" t="s">
        <v>51</v>
      </c>
      <c r="E6" t="s">
        <v>41</v>
      </c>
      <c r="F6" s="2">
        <v>45966.753408423247</v>
      </c>
      <c r="G6">
        <v>8067.53</v>
      </c>
      <c r="H6" t="s">
        <v>52</v>
      </c>
      <c r="I6" t="s">
        <v>28</v>
      </c>
      <c r="J6">
        <v>31</v>
      </c>
      <c r="K6" t="s">
        <v>53</v>
      </c>
    </row>
    <row r="7" spans="1:11" x14ac:dyDescent="0.35">
      <c r="A7" t="s">
        <v>54</v>
      </c>
      <c r="B7" t="s">
        <v>55</v>
      </c>
      <c r="C7" t="s">
        <v>56</v>
      </c>
      <c r="D7" t="s">
        <v>57</v>
      </c>
      <c r="E7" t="s">
        <v>26</v>
      </c>
      <c r="F7" s="2">
        <v>46004.753408423247</v>
      </c>
      <c r="G7">
        <v>64949.37</v>
      </c>
      <c r="H7" t="s">
        <v>58</v>
      </c>
      <c r="I7" t="s">
        <v>59</v>
      </c>
      <c r="J7">
        <v>-7</v>
      </c>
      <c r="K7" t="s">
        <v>36</v>
      </c>
    </row>
    <row r="8" spans="1:11" x14ac:dyDescent="0.3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s="2">
        <v>45945.753408423247</v>
      </c>
      <c r="G8">
        <v>14650.85</v>
      </c>
      <c r="H8" t="s">
        <v>65</v>
      </c>
      <c r="I8" t="s">
        <v>28</v>
      </c>
      <c r="J8">
        <v>52</v>
      </c>
      <c r="K8" t="s">
        <v>66</v>
      </c>
    </row>
    <row r="9" spans="1:11" x14ac:dyDescent="0.35">
      <c r="A9" t="s">
        <v>67</v>
      </c>
      <c r="B9" t="s">
        <v>68</v>
      </c>
      <c r="C9" t="s">
        <v>69</v>
      </c>
      <c r="D9" t="s">
        <v>70</v>
      </c>
      <c r="E9" t="s">
        <v>41</v>
      </c>
      <c r="F9" s="2">
        <v>45905.753408423247</v>
      </c>
      <c r="G9">
        <v>20721.810000000001</v>
      </c>
      <c r="H9" t="s">
        <v>71</v>
      </c>
      <c r="I9" t="s">
        <v>59</v>
      </c>
      <c r="J9">
        <v>92</v>
      </c>
      <c r="K9" t="s">
        <v>66</v>
      </c>
    </row>
    <row r="10" spans="1:11" x14ac:dyDescent="0.35">
      <c r="A10" t="s">
        <v>72</v>
      </c>
      <c r="B10" t="s">
        <v>73</v>
      </c>
      <c r="C10" t="s">
        <v>74</v>
      </c>
      <c r="D10" t="s">
        <v>75</v>
      </c>
      <c r="E10" t="s">
        <v>26</v>
      </c>
      <c r="F10" s="2">
        <v>45997.753408423247</v>
      </c>
      <c r="G10">
        <v>499.8</v>
      </c>
      <c r="H10" t="s">
        <v>65</v>
      </c>
      <c r="I10" t="s">
        <v>28</v>
      </c>
      <c r="J10">
        <v>0</v>
      </c>
      <c r="K10" t="s">
        <v>29</v>
      </c>
    </row>
    <row r="11" spans="1:11" x14ac:dyDescent="0.35">
      <c r="A11" t="s">
        <v>76</v>
      </c>
      <c r="B11" t="s">
        <v>77</v>
      </c>
      <c r="C11" t="s">
        <v>78</v>
      </c>
      <c r="D11" t="s">
        <v>79</v>
      </c>
      <c r="E11" t="s">
        <v>47</v>
      </c>
      <c r="F11" s="2">
        <v>46006.753408423247</v>
      </c>
      <c r="G11">
        <v>6367.37</v>
      </c>
      <c r="H11" t="s">
        <v>27</v>
      </c>
      <c r="I11" t="s">
        <v>28</v>
      </c>
      <c r="J11">
        <v>-9</v>
      </c>
      <c r="K11" t="s">
        <v>36</v>
      </c>
    </row>
    <row r="12" spans="1:11" x14ac:dyDescent="0.35">
      <c r="A12" t="s">
        <v>80</v>
      </c>
      <c r="B12" t="s">
        <v>81</v>
      </c>
      <c r="C12" t="s">
        <v>45</v>
      </c>
      <c r="D12" t="s">
        <v>82</v>
      </c>
      <c r="E12" t="s">
        <v>64</v>
      </c>
      <c r="F12" s="2">
        <v>45935.753408423247</v>
      </c>
      <c r="G12">
        <v>1697.12</v>
      </c>
      <c r="H12" t="s">
        <v>65</v>
      </c>
      <c r="I12" t="s">
        <v>59</v>
      </c>
      <c r="J12">
        <v>62</v>
      </c>
      <c r="K12" t="s">
        <v>66</v>
      </c>
    </row>
    <row r="13" spans="1:11" x14ac:dyDescent="0.35">
      <c r="A13" t="s">
        <v>83</v>
      </c>
      <c r="B13" t="s">
        <v>84</v>
      </c>
      <c r="C13" t="s">
        <v>85</v>
      </c>
      <c r="D13" t="s">
        <v>86</v>
      </c>
      <c r="E13" t="s">
        <v>47</v>
      </c>
      <c r="F13" s="2">
        <v>46045.753408423247</v>
      </c>
      <c r="G13">
        <v>5045.24</v>
      </c>
      <c r="H13" t="s">
        <v>71</v>
      </c>
      <c r="I13" t="s">
        <v>28</v>
      </c>
      <c r="J13">
        <v>-48</v>
      </c>
      <c r="K13" t="s">
        <v>29</v>
      </c>
    </row>
    <row r="14" spans="1:11" x14ac:dyDescent="0.35">
      <c r="A14" t="s">
        <v>87</v>
      </c>
      <c r="B14" t="s">
        <v>88</v>
      </c>
      <c r="C14" t="s">
        <v>89</v>
      </c>
      <c r="D14" t="s">
        <v>90</v>
      </c>
      <c r="E14" t="s">
        <v>26</v>
      </c>
      <c r="F14" s="2">
        <v>45878.753408423247</v>
      </c>
      <c r="G14">
        <v>10913.59</v>
      </c>
      <c r="H14" t="s">
        <v>52</v>
      </c>
      <c r="I14" t="s">
        <v>59</v>
      </c>
      <c r="J14">
        <v>119</v>
      </c>
      <c r="K14" t="s">
        <v>91</v>
      </c>
    </row>
    <row r="15" spans="1:11" x14ac:dyDescent="0.35">
      <c r="A15" t="s">
        <v>92</v>
      </c>
      <c r="B15" t="s">
        <v>93</v>
      </c>
      <c r="C15" t="s">
        <v>94</v>
      </c>
      <c r="D15" t="s">
        <v>95</v>
      </c>
      <c r="E15" t="s">
        <v>96</v>
      </c>
      <c r="F15" s="2">
        <v>46023.753408423247</v>
      </c>
      <c r="G15">
        <v>9447.08</v>
      </c>
      <c r="H15" t="s">
        <v>27</v>
      </c>
      <c r="I15" t="s">
        <v>28</v>
      </c>
      <c r="J15">
        <v>-26</v>
      </c>
      <c r="K15" t="s">
        <v>53</v>
      </c>
    </row>
    <row r="16" spans="1:11" x14ac:dyDescent="0.35">
      <c r="A16" t="s">
        <v>97</v>
      </c>
      <c r="B16" t="s">
        <v>98</v>
      </c>
      <c r="C16" t="s">
        <v>99</v>
      </c>
      <c r="D16" t="s">
        <v>100</v>
      </c>
      <c r="E16" t="s">
        <v>34</v>
      </c>
      <c r="F16" s="2">
        <v>45993.753408423247</v>
      </c>
      <c r="G16">
        <v>43187.7</v>
      </c>
      <c r="H16" t="s">
        <v>27</v>
      </c>
      <c r="I16" t="s">
        <v>28</v>
      </c>
      <c r="J16">
        <v>4</v>
      </c>
      <c r="K16" t="s">
        <v>66</v>
      </c>
    </row>
    <row r="17" spans="1:11" x14ac:dyDescent="0.35">
      <c r="A17" t="s">
        <v>101</v>
      </c>
      <c r="B17" t="s">
        <v>102</v>
      </c>
      <c r="C17" t="s">
        <v>103</v>
      </c>
      <c r="D17" t="s">
        <v>104</v>
      </c>
      <c r="E17" t="s">
        <v>47</v>
      </c>
      <c r="F17" s="2">
        <v>46020.753408423247</v>
      </c>
      <c r="G17">
        <v>8579.2199999999993</v>
      </c>
      <c r="H17" t="s">
        <v>27</v>
      </c>
      <c r="I17" t="s">
        <v>28</v>
      </c>
      <c r="J17">
        <v>-23</v>
      </c>
      <c r="K17" t="s">
        <v>53</v>
      </c>
    </row>
    <row r="18" spans="1:11" x14ac:dyDescent="0.35">
      <c r="A18" t="s">
        <v>105</v>
      </c>
      <c r="B18" t="s">
        <v>106</v>
      </c>
      <c r="C18" t="s">
        <v>107</v>
      </c>
      <c r="D18" t="s">
        <v>108</v>
      </c>
      <c r="E18" t="s">
        <v>34</v>
      </c>
      <c r="F18" s="2">
        <v>45965.753408423247</v>
      </c>
      <c r="G18">
        <v>24324.28</v>
      </c>
      <c r="H18" t="s">
        <v>65</v>
      </c>
      <c r="I18" t="s">
        <v>59</v>
      </c>
      <c r="J18">
        <v>32</v>
      </c>
      <c r="K18" t="s">
        <v>29</v>
      </c>
    </row>
    <row r="19" spans="1:11" x14ac:dyDescent="0.35">
      <c r="A19" t="s">
        <v>109</v>
      </c>
      <c r="B19" t="s">
        <v>110</v>
      </c>
      <c r="C19" t="s">
        <v>39</v>
      </c>
      <c r="D19" t="s">
        <v>111</v>
      </c>
      <c r="E19" t="s">
        <v>47</v>
      </c>
      <c r="F19" s="2">
        <v>45954.753408423247</v>
      </c>
      <c r="G19">
        <v>923.48</v>
      </c>
      <c r="H19" t="s">
        <v>71</v>
      </c>
      <c r="I19" t="s">
        <v>28</v>
      </c>
      <c r="J19">
        <v>43</v>
      </c>
      <c r="K19" t="s">
        <v>53</v>
      </c>
    </row>
    <row r="20" spans="1:11" x14ac:dyDescent="0.35">
      <c r="A20" t="s">
        <v>112</v>
      </c>
      <c r="B20" t="s">
        <v>113</v>
      </c>
      <c r="C20" t="s">
        <v>114</v>
      </c>
      <c r="D20" t="s">
        <v>115</v>
      </c>
      <c r="E20" t="s">
        <v>34</v>
      </c>
      <c r="F20" s="2">
        <v>45867.753408423247</v>
      </c>
      <c r="G20">
        <v>33834.11</v>
      </c>
      <c r="H20" t="s">
        <v>27</v>
      </c>
      <c r="I20" t="s">
        <v>28</v>
      </c>
      <c r="J20">
        <v>130</v>
      </c>
      <c r="K20" t="s">
        <v>29</v>
      </c>
    </row>
    <row r="21" spans="1:11" x14ac:dyDescent="0.35">
      <c r="A21" t="s">
        <v>116</v>
      </c>
      <c r="B21" t="s">
        <v>117</v>
      </c>
      <c r="C21" t="s">
        <v>118</v>
      </c>
      <c r="D21" t="s">
        <v>119</v>
      </c>
      <c r="E21" t="s">
        <v>41</v>
      </c>
      <c r="F21" s="2">
        <v>46021.753408423247</v>
      </c>
      <c r="G21">
        <v>18104.91</v>
      </c>
      <c r="H21" t="s">
        <v>71</v>
      </c>
      <c r="I21" t="s">
        <v>35</v>
      </c>
      <c r="J21">
        <v>-24</v>
      </c>
      <c r="K21" t="s">
        <v>53</v>
      </c>
    </row>
    <row r="22" spans="1:11" x14ac:dyDescent="0.35">
      <c r="A22" t="s">
        <v>120</v>
      </c>
      <c r="B22" t="s">
        <v>121</v>
      </c>
      <c r="C22" t="s">
        <v>24</v>
      </c>
      <c r="D22" t="s">
        <v>122</v>
      </c>
      <c r="E22" t="s">
        <v>26</v>
      </c>
      <c r="F22" s="2">
        <v>46012.753408423247</v>
      </c>
      <c r="G22">
        <v>21962.17</v>
      </c>
      <c r="H22" t="s">
        <v>65</v>
      </c>
      <c r="I22" t="s">
        <v>35</v>
      </c>
      <c r="J22">
        <v>-15</v>
      </c>
      <c r="K22" t="s">
        <v>36</v>
      </c>
    </row>
    <row r="23" spans="1:11" x14ac:dyDescent="0.35">
      <c r="A23" t="s">
        <v>123</v>
      </c>
      <c r="B23" t="s">
        <v>124</v>
      </c>
      <c r="C23" t="s">
        <v>125</v>
      </c>
      <c r="D23" t="s">
        <v>126</v>
      </c>
      <c r="E23" t="s">
        <v>41</v>
      </c>
      <c r="F23" s="2">
        <v>45859.753408423247</v>
      </c>
      <c r="G23">
        <v>18752.28</v>
      </c>
      <c r="H23" t="s">
        <v>71</v>
      </c>
      <c r="I23" t="s">
        <v>28</v>
      </c>
      <c r="J23">
        <v>138</v>
      </c>
      <c r="K23" t="s">
        <v>53</v>
      </c>
    </row>
    <row r="24" spans="1:11" x14ac:dyDescent="0.35">
      <c r="A24" t="s">
        <v>127</v>
      </c>
      <c r="B24" t="s">
        <v>128</v>
      </c>
      <c r="C24" t="s">
        <v>129</v>
      </c>
      <c r="D24" t="s">
        <v>130</v>
      </c>
      <c r="E24" t="s">
        <v>47</v>
      </c>
      <c r="F24" s="2">
        <v>45884.753408423247</v>
      </c>
      <c r="G24">
        <v>2714.51</v>
      </c>
      <c r="H24" t="s">
        <v>65</v>
      </c>
      <c r="I24" t="s">
        <v>35</v>
      </c>
      <c r="J24">
        <v>113</v>
      </c>
      <c r="K24" t="s">
        <v>36</v>
      </c>
    </row>
    <row r="25" spans="1:11" x14ac:dyDescent="0.35">
      <c r="A25" t="s">
        <v>131</v>
      </c>
      <c r="B25" t="s">
        <v>132</v>
      </c>
      <c r="C25" t="s">
        <v>62</v>
      </c>
      <c r="D25" t="s">
        <v>133</v>
      </c>
      <c r="E25" t="s">
        <v>47</v>
      </c>
      <c r="F25" s="2">
        <v>45920.753408423247</v>
      </c>
      <c r="G25">
        <v>8837.16</v>
      </c>
      <c r="H25" t="s">
        <v>58</v>
      </c>
      <c r="I25" t="s">
        <v>59</v>
      </c>
      <c r="J25">
        <v>77</v>
      </c>
      <c r="K25" t="s">
        <v>53</v>
      </c>
    </row>
    <row r="26" spans="1:11" x14ac:dyDescent="0.35">
      <c r="A26" t="s">
        <v>134</v>
      </c>
      <c r="B26" t="s">
        <v>135</v>
      </c>
      <c r="C26" t="s">
        <v>136</v>
      </c>
      <c r="D26" t="s">
        <v>137</v>
      </c>
      <c r="E26" t="s">
        <v>47</v>
      </c>
      <c r="F26" s="2">
        <v>45997.753408423247</v>
      </c>
      <c r="G26">
        <v>24901.98</v>
      </c>
      <c r="H26" t="s">
        <v>65</v>
      </c>
      <c r="I26" t="s">
        <v>28</v>
      </c>
      <c r="J26">
        <v>0</v>
      </c>
      <c r="K26" t="s">
        <v>29</v>
      </c>
    </row>
    <row r="27" spans="1:11" x14ac:dyDescent="0.35">
      <c r="A27" t="s">
        <v>138</v>
      </c>
      <c r="B27" t="s">
        <v>139</v>
      </c>
      <c r="C27" t="s">
        <v>99</v>
      </c>
      <c r="D27" t="s">
        <v>140</v>
      </c>
      <c r="E27" t="s">
        <v>41</v>
      </c>
      <c r="F27" s="2">
        <v>45874.753408423247</v>
      </c>
      <c r="G27">
        <v>28494.26</v>
      </c>
      <c r="H27" t="s">
        <v>71</v>
      </c>
      <c r="I27" t="s">
        <v>59</v>
      </c>
      <c r="J27">
        <v>123</v>
      </c>
      <c r="K27" t="s">
        <v>66</v>
      </c>
    </row>
    <row r="28" spans="1:11" x14ac:dyDescent="0.35">
      <c r="A28" t="s">
        <v>141</v>
      </c>
      <c r="B28" t="s">
        <v>142</v>
      </c>
      <c r="C28" t="s">
        <v>143</v>
      </c>
      <c r="D28" t="s">
        <v>144</v>
      </c>
      <c r="E28" t="s">
        <v>145</v>
      </c>
      <c r="F28" s="2">
        <v>45954.753408423247</v>
      </c>
      <c r="G28">
        <v>14209.9</v>
      </c>
      <c r="H28" t="s">
        <v>42</v>
      </c>
      <c r="I28" t="s">
        <v>28</v>
      </c>
      <c r="J28">
        <v>43</v>
      </c>
      <c r="K28" t="s">
        <v>29</v>
      </c>
    </row>
    <row r="29" spans="1:11" x14ac:dyDescent="0.35">
      <c r="A29" t="s">
        <v>146</v>
      </c>
      <c r="B29" t="s">
        <v>147</v>
      </c>
      <c r="C29" t="s">
        <v>99</v>
      </c>
      <c r="D29" t="s">
        <v>108</v>
      </c>
      <c r="E29" t="s">
        <v>96</v>
      </c>
      <c r="F29" s="2">
        <v>46015.753408423247</v>
      </c>
      <c r="G29">
        <v>18029.78</v>
      </c>
      <c r="H29" t="s">
        <v>27</v>
      </c>
      <c r="I29" t="s">
        <v>35</v>
      </c>
      <c r="J29">
        <v>-18</v>
      </c>
      <c r="K29" t="s">
        <v>66</v>
      </c>
    </row>
    <row r="30" spans="1:11" x14ac:dyDescent="0.35">
      <c r="A30" t="s">
        <v>148</v>
      </c>
      <c r="B30" t="s">
        <v>149</v>
      </c>
      <c r="C30" t="s">
        <v>45</v>
      </c>
      <c r="D30" t="s">
        <v>150</v>
      </c>
      <c r="E30" t="s">
        <v>47</v>
      </c>
      <c r="F30" s="2">
        <v>45838.753408423247</v>
      </c>
      <c r="G30">
        <v>24252.47</v>
      </c>
      <c r="H30" t="s">
        <v>71</v>
      </c>
      <c r="I30" t="s">
        <v>28</v>
      </c>
      <c r="J30">
        <v>159</v>
      </c>
      <c r="K30" t="s">
        <v>29</v>
      </c>
    </row>
    <row r="31" spans="1:11" x14ac:dyDescent="0.35">
      <c r="A31" t="s">
        <v>151</v>
      </c>
      <c r="B31" t="s">
        <v>152</v>
      </c>
      <c r="C31" t="s">
        <v>62</v>
      </c>
      <c r="D31" t="s">
        <v>153</v>
      </c>
      <c r="E31" t="s">
        <v>96</v>
      </c>
      <c r="F31" s="2">
        <v>45968.753408423247</v>
      </c>
      <c r="G31">
        <v>19587.07</v>
      </c>
      <c r="H31" t="s">
        <v>27</v>
      </c>
      <c r="I31" t="s">
        <v>59</v>
      </c>
      <c r="J31">
        <v>29</v>
      </c>
      <c r="K31" t="s">
        <v>66</v>
      </c>
    </row>
    <row r="32" spans="1:11" x14ac:dyDescent="0.35">
      <c r="A32" t="s">
        <v>154</v>
      </c>
      <c r="B32" t="s">
        <v>155</v>
      </c>
      <c r="C32" t="s">
        <v>118</v>
      </c>
      <c r="D32" t="s">
        <v>156</v>
      </c>
      <c r="E32" t="s">
        <v>26</v>
      </c>
      <c r="F32" s="2">
        <v>45935.753408423247</v>
      </c>
      <c r="G32">
        <v>10659.76</v>
      </c>
      <c r="H32" t="s">
        <v>71</v>
      </c>
      <c r="I32" t="s">
        <v>28</v>
      </c>
      <c r="J32">
        <v>62</v>
      </c>
      <c r="K32" t="s">
        <v>66</v>
      </c>
    </row>
    <row r="33" spans="1:11" x14ac:dyDescent="0.35">
      <c r="A33" t="s">
        <v>157</v>
      </c>
      <c r="B33" t="s">
        <v>158</v>
      </c>
      <c r="C33" t="s">
        <v>99</v>
      </c>
      <c r="D33" t="s">
        <v>133</v>
      </c>
      <c r="E33" t="s">
        <v>96</v>
      </c>
      <c r="F33" s="2">
        <v>45955.753408423247</v>
      </c>
      <c r="G33">
        <v>29271.21</v>
      </c>
      <c r="H33" t="s">
        <v>52</v>
      </c>
      <c r="I33" t="s">
        <v>35</v>
      </c>
      <c r="J33">
        <v>42</v>
      </c>
      <c r="K33" t="s">
        <v>36</v>
      </c>
    </row>
    <row r="34" spans="1:11" x14ac:dyDescent="0.35">
      <c r="A34" t="s">
        <v>159</v>
      </c>
      <c r="B34" t="s">
        <v>160</v>
      </c>
      <c r="C34" t="s">
        <v>62</v>
      </c>
      <c r="D34" t="s">
        <v>161</v>
      </c>
      <c r="E34" t="s">
        <v>34</v>
      </c>
      <c r="F34" s="2">
        <v>45906.753408423247</v>
      </c>
      <c r="G34">
        <v>12037.34</v>
      </c>
      <c r="H34" t="s">
        <v>27</v>
      </c>
      <c r="I34" t="s">
        <v>28</v>
      </c>
      <c r="J34">
        <v>91</v>
      </c>
      <c r="K34" t="s">
        <v>66</v>
      </c>
    </row>
    <row r="35" spans="1:11" x14ac:dyDescent="0.35">
      <c r="A35" t="s">
        <v>162</v>
      </c>
      <c r="B35" t="s">
        <v>163</v>
      </c>
      <c r="C35" t="s">
        <v>89</v>
      </c>
      <c r="D35" t="s">
        <v>51</v>
      </c>
      <c r="E35" t="s">
        <v>47</v>
      </c>
      <c r="F35" s="2">
        <v>45890.753408423247</v>
      </c>
      <c r="G35">
        <v>12363.18</v>
      </c>
      <c r="H35" t="s">
        <v>71</v>
      </c>
      <c r="I35" t="s">
        <v>28</v>
      </c>
      <c r="J35">
        <v>107</v>
      </c>
      <c r="K35" t="s">
        <v>53</v>
      </c>
    </row>
    <row r="36" spans="1:11" x14ac:dyDescent="0.35">
      <c r="A36" t="s">
        <v>164</v>
      </c>
      <c r="B36" t="s">
        <v>165</v>
      </c>
      <c r="C36" t="s">
        <v>39</v>
      </c>
      <c r="D36" t="s">
        <v>40</v>
      </c>
      <c r="E36" t="s">
        <v>64</v>
      </c>
      <c r="F36" s="2">
        <v>45861.753408423247</v>
      </c>
      <c r="G36">
        <v>9159.5400000000009</v>
      </c>
      <c r="H36" t="s">
        <v>65</v>
      </c>
      <c r="I36" t="s">
        <v>59</v>
      </c>
      <c r="J36">
        <v>136</v>
      </c>
      <c r="K36" t="s">
        <v>36</v>
      </c>
    </row>
    <row r="37" spans="1:11" x14ac:dyDescent="0.35">
      <c r="A37" t="s">
        <v>166</v>
      </c>
      <c r="B37" t="s">
        <v>167</v>
      </c>
      <c r="C37" t="s">
        <v>168</v>
      </c>
      <c r="D37" t="s">
        <v>79</v>
      </c>
      <c r="E37" t="s">
        <v>26</v>
      </c>
      <c r="F37" s="2">
        <v>45849.753408423247</v>
      </c>
      <c r="G37">
        <v>18404.84</v>
      </c>
      <c r="H37" t="s">
        <v>27</v>
      </c>
      <c r="I37" t="s">
        <v>28</v>
      </c>
      <c r="J37">
        <v>148</v>
      </c>
      <c r="K37" t="s">
        <v>91</v>
      </c>
    </row>
    <row r="38" spans="1:11" x14ac:dyDescent="0.35">
      <c r="A38" t="s">
        <v>169</v>
      </c>
      <c r="B38" t="s">
        <v>170</v>
      </c>
      <c r="C38" t="s">
        <v>94</v>
      </c>
      <c r="D38" t="s">
        <v>153</v>
      </c>
      <c r="E38" t="s">
        <v>64</v>
      </c>
      <c r="F38" s="2">
        <v>45941.753408423247</v>
      </c>
      <c r="G38">
        <v>3553.36</v>
      </c>
      <c r="H38" t="s">
        <v>27</v>
      </c>
      <c r="I38" t="s">
        <v>28</v>
      </c>
      <c r="J38">
        <v>56</v>
      </c>
      <c r="K38" t="s">
        <v>29</v>
      </c>
    </row>
    <row r="39" spans="1:11" x14ac:dyDescent="0.35">
      <c r="A39" t="s">
        <v>171</v>
      </c>
      <c r="B39" t="s">
        <v>172</v>
      </c>
      <c r="C39" t="s">
        <v>143</v>
      </c>
      <c r="D39" t="s">
        <v>173</v>
      </c>
      <c r="E39" t="s">
        <v>34</v>
      </c>
      <c r="F39" s="2">
        <v>45952.753408423247</v>
      </c>
      <c r="G39">
        <v>13367.7</v>
      </c>
      <c r="H39" t="s">
        <v>27</v>
      </c>
      <c r="I39" t="s">
        <v>59</v>
      </c>
      <c r="J39">
        <v>45</v>
      </c>
      <c r="K39" t="s">
        <v>91</v>
      </c>
    </row>
    <row r="40" spans="1:11" x14ac:dyDescent="0.35">
      <c r="A40" t="s">
        <v>174</v>
      </c>
      <c r="B40" t="s">
        <v>175</v>
      </c>
      <c r="C40" t="s">
        <v>176</v>
      </c>
      <c r="D40" t="s">
        <v>177</v>
      </c>
      <c r="E40" t="s">
        <v>34</v>
      </c>
      <c r="F40" s="2">
        <v>45927.753408423247</v>
      </c>
      <c r="G40">
        <v>7383.07</v>
      </c>
      <c r="H40" t="s">
        <v>27</v>
      </c>
      <c r="I40" t="s">
        <v>28</v>
      </c>
      <c r="J40">
        <v>70</v>
      </c>
      <c r="K40" t="s">
        <v>53</v>
      </c>
    </row>
    <row r="41" spans="1:11" x14ac:dyDescent="0.35">
      <c r="A41" t="s">
        <v>178</v>
      </c>
      <c r="B41" t="s">
        <v>179</v>
      </c>
      <c r="C41" t="s">
        <v>114</v>
      </c>
      <c r="D41" t="s">
        <v>180</v>
      </c>
      <c r="E41" t="s">
        <v>34</v>
      </c>
      <c r="F41" s="2">
        <v>45867.753408423247</v>
      </c>
      <c r="G41">
        <v>4183.3100000000004</v>
      </c>
      <c r="H41" t="s">
        <v>27</v>
      </c>
      <c r="I41" t="s">
        <v>28</v>
      </c>
      <c r="J41">
        <v>130</v>
      </c>
      <c r="K41" t="s">
        <v>91</v>
      </c>
    </row>
    <row r="42" spans="1:11" x14ac:dyDescent="0.35">
      <c r="A42" t="s">
        <v>181</v>
      </c>
      <c r="B42" t="s">
        <v>132</v>
      </c>
      <c r="C42" t="s">
        <v>103</v>
      </c>
      <c r="D42" t="s">
        <v>182</v>
      </c>
      <c r="E42" t="s">
        <v>96</v>
      </c>
      <c r="F42" s="2">
        <v>45892.753408423247</v>
      </c>
      <c r="G42">
        <v>3504.76</v>
      </c>
      <c r="H42" t="s">
        <v>71</v>
      </c>
      <c r="I42" t="s">
        <v>28</v>
      </c>
      <c r="J42">
        <v>105</v>
      </c>
      <c r="K42" t="s">
        <v>53</v>
      </c>
    </row>
    <row r="43" spans="1:11" x14ac:dyDescent="0.35">
      <c r="A43" t="s">
        <v>183</v>
      </c>
      <c r="B43" t="s">
        <v>184</v>
      </c>
      <c r="C43" t="s">
        <v>89</v>
      </c>
      <c r="D43" t="s">
        <v>185</v>
      </c>
      <c r="E43" t="s">
        <v>26</v>
      </c>
      <c r="F43" s="2">
        <v>45941.753408423247</v>
      </c>
      <c r="G43">
        <v>9911.18</v>
      </c>
      <c r="H43" t="s">
        <v>65</v>
      </c>
      <c r="I43" t="s">
        <v>28</v>
      </c>
      <c r="J43">
        <v>56</v>
      </c>
      <c r="K43" t="s">
        <v>36</v>
      </c>
    </row>
    <row r="44" spans="1:11" x14ac:dyDescent="0.35">
      <c r="A44" t="s">
        <v>186</v>
      </c>
      <c r="B44" t="s">
        <v>187</v>
      </c>
      <c r="C44" t="s">
        <v>107</v>
      </c>
      <c r="D44" t="s">
        <v>188</v>
      </c>
      <c r="E44" t="s">
        <v>96</v>
      </c>
      <c r="F44" s="2">
        <v>45941.753408423247</v>
      </c>
      <c r="G44">
        <v>4414.18</v>
      </c>
      <c r="H44" t="s">
        <v>52</v>
      </c>
      <c r="I44" t="s">
        <v>28</v>
      </c>
      <c r="J44">
        <v>56</v>
      </c>
      <c r="K44" t="s">
        <v>53</v>
      </c>
    </row>
    <row r="45" spans="1:11" x14ac:dyDescent="0.35">
      <c r="A45" t="s">
        <v>189</v>
      </c>
      <c r="B45" t="s">
        <v>190</v>
      </c>
      <c r="C45" t="s">
        <v>114</v>
      </c>
      <c r="D45" t="s">
        <v>191</v>
      </c>
      <c r="E45" t="s">
        <v>47</v>
      </c>
      <c r="F45" s="2">
        <v>45895.753408423247</v>
      </c>
      <c r="G45">
        <v>412.95</v>
      </c>
      <c r="H45" t="s">
        <v>71</v>
      </c>
      <c r="I45" t="s">
        <v>59</v>
      </c>
      <c r="J45">
        <v>102</v>
      </c>
      <c r="K45" t="s">
        <v>91</v>
      </c>
    </row>
    <row r="46" spans="1:11" x14ac:dyDescent="0.35">
      <c r="A46" t="s">
        <v>192</v>
      </c>
      <c r="B46" t="s">
        <v>193</v>
      </c>
      <c r="C46" t="s">
        <v>39</v>
      </c>
      <c r="D46" t="s">
        <v>194</v>
      </c>
      <c r="E46" t="s">
        <v>41</v>
      </c>
      <c r="F46" s="2">
        <v>45918.753408423247</v>
      </c>
      <c r="G46">
        <v>904.59</v>
      </c>
      <c r="H46" t="s">
        <v>52</v>
      </c>
      <c r="I46" t="s">
        <v>28</v>
      </c>
      <c r="J46">
        <v>79</v>
      </c>
      <c r="K46" t="s">
        <v>53</v>
      </c>
    </row>
    <row r="47" spans="1:11" x14ac:dyDescent="0.35">
      <c r="A47" t="s">
        <v>195</v>
      </c>
      <c r="B47" t="s">
        <v>196</v>
      </c>
      <c r="C47" t="s">
        <v>103</v>
      </c>
      <c r="D47" t="s">
        <v>197</v>
      </c>
      <c r="E47" t="s">
        <v>96</v>
      </c>
      <c r="F47" s="2">
        <v>45860.753408423247</v>
      </c>
      <c r="G47">
        <v>51373.29</v>
      </c>
      <c r="H47" t="s">
        <v>58</v>
      </c>
      <c r="I47" t="s">
        <v>28</v>
      </c>
      <c r="J47">
        <v>137</v>
      </c>
      <c r="K47" t="s">
        <v>91</v>
      </c>
    </row>
    <row r="48" spans="1:11" x14ac:dyDescent="0.35">
      <c r="A48" t="s">
        <v>198</v>
      </c>
      <c r="B48" t="s">
        <v>199</v>
      </c>
      <c r="C48" t="s">
        <v>200</v>
      </c>
      <c r="D48" t="s">
        <v>133</v>
      </c>
      <c r="E48" t="s">
        <v>145</v>
      </c>
      <c r="F48" s="2">
        <v>45979.753408423247</v>
      </c>
      <c r="G48">
        <v>16868.740000000002</v>
      </c>
      <c r="H48" t="s">
        <v>65</v>
      </c>
      <c r="I48" t="s">
        <v>28</v>
      </c>
      <c r="J48">
        <v>18</v>
      </c>
      <c r="K48" t="s">
        <v>91</v>
      </c>
    </row>
    <row r="49" spans="1:11" x14ac:dyDescent="0.35">
      <c r="A49" t="s">
        <v>201</v>
      </c>
      <c r="B49" t="s">
        <v>202</v>
      </c>
      <c r="C49" t="s">
        <v>62</v>
      </c>
      <c r="D49" t="s">
        <v>25</v>
      </c>
      <c r="E49" t="s">
        <v>41</v>
      </c>
      <c r="F49" s="2">
        <v>45904.753408423247</v>
      </c>
      <c r="G49">
        <v>15597.78</v>
      </c>
      <c r="H49" t="s">
        <v>52</v>
      </c>
      <c r="I49" t="s">
        <v>28</v>
      </c>
      <c r="J49">
        <v>93</v>
      </c>
      <c r="K49" t="s">
        <v>36</v>
      </c>
    </row>
    <row r="50" spans="1:11" x14ac:dyDescent="0.35">
      <c r="A50" t="s">
        <v>203</v>
      </c>
      <c r="B50" t="s">
        <v>204</v>
      </c>
      <c r="C50" t="s">
        <v>39</v>
      </c>
      <c r="D50" t="s">
        <v>205</v>
      </c>
      <c r="E50" t="s">
        <v>64</v>
      </c>
      <c r="F50" s="2">
        <v>45958.753408423247</v>
      </c>
      <c r="G50">
        <v>4221.25</v>
      </c>
      <c r="H50" t="s">
        <v>71</v>
      </c>
      <c r="I50" t="s">
        <v>35</v>
      </c>
      <c r="J50">
        <v>39</v>
      </c>
      <c r="K50" t="s">
        <v>66</v>
      </c>
    </row>
    <row r="51" spans="1:11" x14ac:dyDescent="0.35">
      <c r="A51" t="s">
        <v>206</v>
      </c>
      <c r="B51" t="s">
        <v>207</v>
      </c>
      <c r="C51" t="s">
        <v>69</v>
      </c>
      <c r="D51" t="s">
        <v>82</v>
      </c>
      <c r="E51" t="s">
        <v>96</v>
      </c>
      <c r="F51" s="2">
        <v>45967.753408423247</v>
      </c>
      <c r="G51">
        <v>26578.51</v>
      </c>
      <c r="H51" t="s">
        <v>71</v>
      </c>
      <c r="I51" t="s">
        <v>35</v>
      </c>
      <c r="J51">
        <v>30</v>
      </c>
      <c r="K51" t="s">
        <v>53</v>
      </c>
    </row>
    <row r="52" spans="1:11" x14ac:dyDescent="0.35">
      <c r="A52" t="s">
        <v>208</v>
      </c>
      <c r="B52" t="s">
        <v>209</v>
      </c>
      <c r="C52" t="s">
        <v>200</v>
      </c>
      <c r="D52" t="s">
        <v>188</v>
      </c>
      <c r="E52" t="s">
        <v>34</v>
      </c>
      <c r="F52" s="2">
        <v>46007.753408423247</v>
      </c>
      <c r="G52">
        <v>10986.17</v>
      </c>
      <c r="H52" t="s">
        <v>27</v>
      </c>
      <c r="I52" t="s">
        <v>28</v>
      </c>
      <c r="J52">
        <v>-10</v>
      </c>
      <c r="K52" t="s">
        <v>66</v>
      </c>
    </row>
    <row r="53" spans="1:11" x14ac:dyDescent="0.35">
      <c r="A53" t="s">
        <v>210</v>
      </c>
      <c r="B53" t="s">
        <v>211</v>
      </c>
      <c r="C53" t="s">
        <v>103</v>
      </c>
      <c r="D53" t="s">
        <v>212</v>
      </c>
      <c r="E53" t="s">
        <v>64</v>
      </c>
      <c r="F53" s="2">
        <v>45871.753408423247</v>
      </c>
      <c r="G53">
        <v>12020.44</v>
      </c>
      <c r="H53" t="s">
        <v>27</v>
      </c>
      <c r="I53" t="s">
        <v>28</v>
      </c>
      <c r="J53">
        <v>126</v>
      </c>
      <c r="K53" t="s">
        <v>91</v>
      </c>
    </row>
    <row r="54" spans="1:11" x14ac:dyDescent="0.35">
      <c r="A54" t="s">
        <v>213</v>
      </c>
      <c r="B54" t="s">
        <v>214</v>
      </c>
      <c r="C54" t="s">
        <v>85</v>
      </c>
      <c r="D54" t="s">
        <v>215</v>
      </c>
      <c r="E54" t="s">
        <v>64</v>
      </c>
      <c r="F54" s="2">
        <v>46002.753408423247</v>
      </c>
      <c r="G54">
        <v>1746.94</v>
      </c>
      <c r="H54" t="s">
        <v>27</v>
      </c>
      <c r="I54" t="s">
        <v>28</v>
      </c>
      <c r="J54">
        <v>-5</v>
      </c>
      <c r="K54" t="s">
        <v>29</v>
      </c>
    </row>
    <row r="55" spans="1:11" x14ac:dyDescent="0.35">
      <c r="A55" t="s">
        <v>216</v>
      </c>
      <c r="B55" t="s">
        <v>217</v>
      </c>
      <c r="C55" t="s">
        <v>62</v>
      </c>
      <c r="D55" t="s">
        <v>115</v>
      </c>
      <c r="E55" t="s">
        <v>96</v>
      </c>
      <c r="F55" s="2">
        <v>45970.753408423247</v>
      </c>
      <c r="G55">
        <v>16334.13</v>
      </c>
      <c r="H55" t="s">
        <v>27</v>
      </c>
      <c r="I55" t="s">
        <v>28</v>
      </c>
      <c r="J55">
        <v>27</v>
      </c>
      <c r="K55" t="s">
        <v>91</v>
      </c>
    </row>
    <row r="56" spans="1:11" x14ac:dyDescent="0.35">
      <c r="A56" t="s">
        <v>218</v>
      </c>
      <c r="B56" t="s">
        <v>219</v>
      </c>
      <c r="C56" t="s">
        <v>69</v>
      </c>
      <c r="D56" t="s">
        <v>130</v>
      </c>
      <c r="E56" t="s">
        <v>34</v>
      </c>
      <c r="F56" s="2">
        <v>45979.753408423247</v>
      </c>
      <c r="G56">
        <v>4836.75</v>
      </c>
      <c r="H56" t="s">
        <v>27</v>
      </c>
      <c r="I56" t="s">
        <v>28</v>
      </c>
      <c r="J56">
        <v>18</v>
      </c>
      <c r="K56" t="s">
        <v>53</v>
      </c>
    </row>
    <row r="57" spans="1:11" x14ac:dyDescent="0.35">
      <c r="A57" t="s">
        <v>220</v>
      </c>
      <c r="B57" t="s">
        <v>221</v>
      </c>
      <c r="C57" t="s">
        <v>143</v>
      </c>
      <c r="D57" t="s">
        <v>222</v>
      </c>
      <c r="E57" t="s">
        <v>145</v>
      </c>
      <c r="F57" s="2">
        <v>45973.753408423247</v>
      </c>
      <c r="G57">
        <v>3133.53</v>
      </c>
      <c r="H57" t="s">
        <v>27</v>
      </c>
      <c r="I57" t="s">
        <v>28</v>
      </c>
      <c r="J57">
        <v>24</v>
      </c>
      <c r="K57" t="s">
        <v>66</v>
      </c>
    </row>
    <row r="58" spans="1:11" x14ac:dyDescent="0.35">
      <c r="A58" t="s">
        <v>223</v>
      </c>
      <c r="B58" t="s">
        <v>224</v>
      </c>
      <c r="C58" t="s">
        <v>129</v>
      </c>
      <c r="D58" t="s">
        <v>225</v>
      </c>
      <c r="E58" t="s">
        <v>34</v>
      </c>
      <c r="F58" s="2">
        <v>45955.753408423247</v>
      </c>
      <c r="G58">
        <v>35813.230000000003</v>
      </c>
      <c r="H58" t="s">
        <v>71</v>
      </c>
      <c r="I58" t="s">
        <v>59</v>
      </c>
      <c r="J58">
        <v>42</v>
      </c>
      <c r="K58" t="s">
        <v>36</v>
      </c>
    </row>
    <row r="59" spans="1:11" x14ac:dyDescent="0.35">
      <c r="A59" t="s">
        <v>226</v>
      </c>
      <c r="B59" t="s">
        <v>227</v>
      </c>
      <c r="C59" t="s">
        <v>78</v>
      </c>
      <c r="D59" t="s">
        <v>205</v>
      </c>
      <c r="E59" t="s">
        <v>47</v>
      </c>
      <c r="F59" s="2">
        <v>45989.753408423247</v>
      </c>
      <c r="G59">
        <v>30884.85</v>
      </c>
      <c r="H59" t="s">
        <v>52</v>
      </c>
      <c r="I59" t="s">
        <v>28</v>
      </c>
      <c r="J59">
        <v>8</v>
      </c>
      <c r="K59" t="s">
        <v>66</v>
      </c>
    </row>
    <row r="60" spans="1:11" x14ac:dyDescent="0.35">
      <c r="A60" t="s">
        <v>228</v>
      </c>
      <c r="B60" t="s">
        <v>229</v>
      </c>
      <c r="C60" t="s">
        <v>136</v>
      </c>
      <c r="D60" t="s">
        <v>230</v>
      </c>
      <c r="E60" t="s">
        <v>47</v>
      </c>
      <c r="F60" s="2">
        <v>45846.753408423247</v>
      </c>
      <c r="G60">
        <v>5899.32</v>
      </c>
      <c r="H60" t="s">
        <v>58</v>
      </c>
      <c r="I60" t="s">
        <v>28</v>
      </c>
      <c r="J60">
        <v>151</v>
      </c>
      <c r="K60" t="s">
        <v>66</v>
      </c>
    </row>
    <row r="61" spans="1:11" x14ac:dyDescent="0.35">
      <c r="A61" t="s">
        <v>231</v>
      </c>
      <c r="B61" t="s">
        <v>232</v>
      </c>
      <c r="C61" t="s">
        <v>118</v>
      </c>
      <c r="D61" t="s">
        <v>95</v>
      </c>
      <c r="E61" t="s">
        <v>47</v>
      </c>
      <c r="F61" s="2">
        <v>46006.753408423247</v>
      </c>
      <c r="G61">
        <v>4922.42</v>
      </c>
      <c r="H61" t="s">
        <v>27</v>
      </c>
      <c r="I61" t="s">
        <v>28</v>
      </c>
      <c r="J61">
        <v>-9</v>
      </c>
      <c r="K61" t="s">
        <v>29</v>
      </c>
    </row>
    <row r="62" spans="1:11" x14ac:dyDescent="0.35">
      <c r="A62" t="s">
        <v>233</v>
      </c>
      <c r="B62" t="s">
        <v>234</v>
      </c>
      <c r="C62" t="s">
        <v>89</v>
      </c>
      <c r="D62" t="s">
        <v>235</v>
      </c>
      <c r="E62" t="s">
        <v>41</v>
      </c>
      <c r="F62" s="2">
        <v>45920.753408423247</v>
      </c>
      <c r="G62">
        <v>5069.59</v>
      </c>
      <c r="H62" t="s">
        <v>27</v>
      </c>
      <c r="I62" t="s">
        <v>28</v>
      </c>
      <c r="J62">
        <v>77</v>
      </c>
      <c r="K62" t="s">
        <v>91</v>
      </c>
    </row>
    <row r="63" spans="1:11" x14ac:dyDescent="0.35">
      <c r="A63" t="s">
        <v>236</v>
      </c>
      <c r="B63" t="s">
        <v>237</v>
      </c>
      <c r="C63" t="s">
        <v>238</v>
      </c>
      <c r="D63" t="s">
        <v>239</v>
      </c>
      <c r="E63" t="s">
        <v>96</v>
      </c>
      <c r="F63" s="2">
        <v>45993.753408423247</v>
      </c>
      <c r="G63">
        <v>3735.5</v>
      </c>
      <c r="H63" t="s">
        <v>71</v>
      </c>
      <c r="I63" t="s">
        <v>28</v>
      </c>
      <c r="J63">
        <v>4</v>
      </c>
      <c r="K63" t="s">
        <v>36</v>
      </c>
    </row>
    <row r="64" spans="1:11" x14ac:dyDescent="0.35">
      <c r="A64" t="s">
        <v>240</v>
      </c>
      <c r="B64" t="s">
        <v>241</v>
      </c>
      <c r="C64" t="s">
        <v>99</v>
      </c>
      <c r="D64" t="s">
        <v>194</v>
      </c>
      <c r="E64" t="s">
        <v>26</v>
      </c>
      <c r="F64" s="2">
        <v>45929.753408423247</v>
      </c>
      <c r="G64">
        <v>16715.439999999999</v>
      </c>
      <c r="H64" t="s">
        <v>52</v>
      </c>
      <c r="I64" t="s">
        <v>28</v>
      </c>
      <c r="J64">
        <v>68</v>
      </c>
      <c r="K64" t="s">
        <v>53</v>
      </c>
    </row>
    <row r="65" spans="1:11" x14ac:dyDescent="0.35">
      <c r="A65" t="s">
        <v>242</v>
      </c>
      <c r="B65" t="s">
        <v>243</v>
      </c>
      <c r="C65" t="s">
        <v>143</v>
      </c>
      <c r="D65" t="s">
        <v>244</v>
      </c>
      <c r="E65" t="s">
        <v>26</v>
      </c>
      <c r="F65" s="2">
        <v>45984.753408423247</v>
      </c>
      <c r="G65">
        <v>12412.11</v>
      </c>
      <c r="H65" t="s">
        <v>65</v>
      </c>
      <c r="I65" t="s">
        <v>59</v>
      </c>
      <c r="J65">
        <v>13</v>
      </c>
      <c r="K65" t="s">
        <v>53</v>
      </c>
    </row>
    <row r="66" spans="1:11" x14ac:dyDescent="0.35">
      <c r="A66" t="s">
        <v>245</v>
      </c>
      <c r="B66" t="s">
        <v>246</v>
      </c>
      <c r="C66" t="s">
        <v>56</v>
      </c>
      <c r="D66" t="s">
        <v>247</v>
      </c>
      <c r="E66" t="s">
        <v>26</v>
      </c>
      <c r="F66" s="2">
        <v>45993.753408423247</v>
      </c>
      <c r="G66">
        <v>10289.370000000001</v>
      </c>
      <c r="H66" t="s">
        <v>65</v>
      </c>
      <c r="I66" t="s">
        <v>35</v>
      </c>
      <c r="J66">
        <v>4</v>
      </c>
      <c r="K66" t="s">
        <v>53</v>
      </c>
    </row>
    <row r="67" spans="1:11" x14ac:dyDescent="0.35">
      <c r="A67" t="s">
        <v>248</v>
      </c>
      <c r="B67" t="s">
        <v>249</v>
      </c>
      <c r="C67" t="s">
        <v>103</v>
      </c>
      <c r="D67" t="s">
        <v>250</v>
      </c>
      <c r="E67" t="s">
        <v>64</v>
      </c>
      <c r="F67" s="2">
        <v>45939.753408423247</v>
      </c>
      <c r="G67">
        <v>25840.59</v>
      </c>
      <c r="H67" t="s">
        <v>27</v>
      </c>
      <c r="I67" t="s">
        <v>28</v>
      </c>
      <c r="J67">
        <v>58</v>
      </c>
      <c r="K67" t="s">
        <v>36</v>
      </c>
    </row>
    <row r="68" spans="1:11" x14ac:dyDescent="0.35">
      <c r="A68" t="s">
        <v>251</v>
      </c>
      <c r="B68" t="s">
        <v>252</v>
      </c>
      <c r="C68" t="s">
        <v>74</v>
      </c>
      <c r="D68" t="s">
        <v>173</v>
      </c>
      <c r="E68" t="s">
        <v>96</v>
      </c>
      <c r="F68" s="2">
        <v>45904.753408423247</v>
      </c>
      <c r="G68">
        <v>5787.52</v>
      </c>
      <c r="H68" t="s">
        <v>58</v>
      </c>
      <c r="I68" t="s">
        <v>59</v>
      </c>
      <c r="J68">
        <v>93</v>
      </c>
      <c r="K68" t="s">
        <v>91</v>
      </c>
    </row>
    <row r="69" spans="1:11" x14ac:dyDescent="0.35">
      <c r="A69" t="s">
        <v>253</v>
      </c>
      <c r="B69" t="s">
        <v>254</v>
      </c>
      <c r="C69" t="s">
        <v>168</v>
      </c>
      <c r="D69" t="s">
        <v>137</v>
      </c>
      <c r="E69" t="s">
        <v>145</v>
      </c>
      <c r="F69" s="2">
        <v>45891.753408423247</v>
      </c>
      <c r="G69">
        <v>7839.54</v>
      </c>
      <c r="H69" t="s">
        <v>65</v>
      </c>
      <c r="I69" t="s">
        <v>59</v>
      </c>
      <c r="J69">
        <v>106</v>
      </c>
      <c r="K69" t="s">
        <v>53</v>
      </c>
    </row>
    <row r="70" spans="1:11" x14ac:dyDescent="0.35">
      <c r="A70" t="s">
        <v>255</v>
      </c>
      <c r="B70" t="s">
        <v>256</v>
      </c>
      <c r="C70" t="s">
        <v>257</v>
      </c>
      <c r="D70" t="s">
        <v>25</v>
      </c>
      <c r="E70" t="s">
        <v>41</v>
      </c>
      <c r="F70" s="2">
        <v>45942.753408423247</v>
      </c>
      <c r="G70">
        <v>6635.15</v>
      </c>
      <c r="H70" t="s">
        <v>58</v>
      </c>
      <c r="I70" t="s">
        <v>59</v>
      </c>
      <c r="J70">
        <v>55</v>
      </c>
      <c r="K70" t="s">
        <v>91</v>
      </c>
    </row>
    <row r="71" spans="1:11" x14ac:dyDescent="0.35">
      <c r="A71" t="s">
        <v>258</v>
      </c>
      <c r="B71" t="s">
        <v>259</v>
      </c>
      <c r="C71" t="s">
        <v>260</v>
      </c>
      <c r="D71" t="s">
        <v>33</v>
      </c>
      <c r="E71" t="s">
        <v>145</v>
      </c>
      <c r="F71" s="2">
        <v>45997.753408423247</v>
      </c>
      <c r="G71">
        <v>32773.089999999997</v>
      </c>
      <c r="H71" t="s">
        <v>27</v>
      </c>
      <c r="I71" t="s">
        <v>59</v>
      </c>
      <c r="J71">
        <v>0</v>
      </c>
      <c r="K71" t="s">
        <v>53</v>
      </c>
    </row>
    <row r="72" spans="1:11" x14ac:dyDescent="0.35">
      <c r="A72" t="s">
        <v>261</v>
      </c>
      <c r="B72" t="s">
        <v>262</v>
      </c>
      <c r="C72" t="s">
        <v>62</v>
      </c>
      <c r="D72" t="s">
        <v>263</v>
      </c>
      <c r="E72" t="s">
        <v>64</v>
      </c>
      <c r="F72" s="2">
        <v>45883.753408423247</v>
      </c>
      <c r="G72">
        <v>24639.19</v>
      </c>
      <c r="H72" t="s">
        <v>58</v>
      </c>
      <c r="I72" t="s">
        <v>28</v>
      </c>
      <c r="J72">
        <v>114</v>
      </c>
      <c r="K72" t="s">
        <v>36</v>
      </c>
    </row>
    <row r="73" spans="1:11" x14ac:dyDescent="0.35">
      <c r="A73" t="s">
        <v>264</v>
      </c>
      <c r="B73" t="s">
        <v>265</v>
      </c>
      <c r="C73" t="s">
        <v>56</v>
      </c>
      <c r="D73" t="s">
        <v>266</v>
      </c>
      <c r="E73" t="s">
        <v>47</v>
      </c>
      <c r="F73" s="2">
        <v>46022.753408423247</v>
      </c>
      <c r="G73">
        <v>7554.52</v>
      </c>
      <c r="H73" t="s">
        <v>58</v>
      </c>
      <c r="I73" t="s">
        <v>59</v>
      </c>
      <c r="J73">
        <v>-25</v>
      </c>
      <c r="K73" t="s">
        <v>91</v>
      </c>
    </row>
    <row r="74" spans="1:11" x14ac:dyDescent="0.35">
      <c r="A74" t="s">
        <v>267</v>
      </c>
      <c r="B74" t="s">
        <v>268</v>
      </c>
      <c r="C74" t="s">
        <v>62</v>
      </c>
      <c r="D74" t="s">
        <v>269</v>
      </c>
      <c r="E74" t="s">
        <v>145</v>
      </c>
      <c r="F74" s="2">
        <v>46013.753408423247</v>
      </c>
      <c r="G74">
        <v>7179.84</v>
      </c>
      <c r="H74" t="s">
        <v>65</v>
      </c>
      <c r="I74" t="s">
        <v>28</v>
      </c>
      <c r="J74">
        <v>-16</v>
      </c>
      <c r="K74" t="s">
        <v>66</v>
      </c>
    </row>
    <row r="75" spans="1:11" x14ac:dyDescent="0.35">
      <c r="A75" t="s">
        <v>270</v>
      </c>
      <c r="B75" t="s">
        <v>271</v>
      </c>
      <c r="C75" t="s">
        <v>257</v>
      </c>
      <c r="D75" t="s">
        <v>272</v>
      </c>
      <c r="E75" t="s">
        <v>41</v>
      </c>
      <c r="F75" s="2">
        <v>45873.753408423247</v>
      </c>
      <c r="G75">
        <v>7828.95</v>
      </c>
      <c r="H75" t="s">
        <v>52</v>
      </c>
      <c r="I75" t="s">
        <v>28</v>
      </c>
      <c r="J75">
        <v>124</v>
      </c>
      <c r="K75" t="s">
        <v>29</v>
      </c>
    </row>
    <row r="76" spans="1:11" x14ac:dyDescent="0.35">
      <c r="A76" t="s">
        <v>273</v>
      </c>
      <c r="B76" t="s">
        <v>274</v>
      </c>
      <c r="C76" t="s">
        <v>32</v>
      </c>
      <c r="D76" t="s">
        <v>111</v>
      </c>
      <c r="E76" t="s">
        <v>64</v>
      </c>
      <c r="F76" s="2">
        <v>45925.753408423247</v>
      </c>
      <c r="G76">
        <v>9693.17</v>
      </c>
      <c r="H76" t="s">
        <v>52</v>
      </c>
      <c r="I76" t="s">
        <v>35</v>
      </c>
      <c r="J76">
        <v>72</v>
      </c>
      <c r="K76" t="s">
        <v>53</v>
      </c>
    </row>
    <row r="77" spans="1:11" x14ac:dyDescent="0.35">
      <c r="A77" t="s">
        <v>275</v>
      </c>
      <c r="B77" t="s">
        <v>276</v>
      </c>
      <c r="C77" t="s">
        <v>260</v>
      </c>
      <c r="D77" t="s">
        <v>191</v>
      </c>
      <c r="E77" t="s">
        <v>41</v>
      </c>
      <c r="F77" s="2">
        <v>45897.753408423247</v>
      </c>
      <c r="G77">
        <v>32698.15</v>
      </c>
      <c r="H77" t="s">
        <v>65</v>
      </c>
      <c r="I77" t="s">
        <v>28</v>
      </c>
      <c r="J77">
        <v>100</v>
      </c>
      <c r="K77" t="s">
        <v>53</v>
      </c>
    </row>
    <row r="78" spans="1:11" x14ac:dyDescent="0.35">
      <c r="A78" t="s">
        <v>277</v>
      </c>
      <c r="B78" t="s">
        <v>278</v>
      </c>
      <c r="C78" t="s">
        <v>176</v>
      </c>
      <c r="D78" t="s">
        <v>279</v>
      </c>
      <c r="E78" t="s">
        <v>47</v>
      </c>
      <c r="F78" s="2">
        <v>46006.753408423247</v>
      </c>
      <c r="G78">
        <v>6373.09</v>
      </c>
      <c r="H78" t="s">
        <v>27</v>
      </c>
      <c r="I78" t="s">
        <v>28</v>
      </c>
      <c r="J78">
        <v>-9</v>
      </c>
      <c r="K78" t="s">
        <v>29</v>
      </c>
    </row>
    <row r="79" spans="1:11" x14ac:dyDescent="0.35">
      <c r="A79" t="s">
        <v>280</v>
      </c>
      <c r="B79" t="s">
        <v>281</v>
      </c>
      <c r="C79" t="s">
        <v>103</v>
      </c>
      <c r="D79" t="s">
        <v>185</v>
      </c>
      <c r="E79" t="s">
        <v>41</v>
      </c>
      <c r="F79" s="2">
        <v>45909.753408423247</v>
      </c>
      <c r="G79">
        <v>2173.59</v>
      </c>
      <c r="H79" t="s">
        <v>71</v>
      </c>
      <c r="I79" t="s">
        <v>28</v>
      </c>
      <c r="J79">
        <v>88</v>
      </c>
      <c r="K79" t="s">
        <v>66</v>
      </c>
    </row>
    <row r="80" spans="1:11" x14ac:dyDescent="0.35">
      <c r="A80" t="s">
        <v>282</v>
      </c>
      <c r="B80" t="s">
        <v>283</v>
      </c>
      <c r="C80" t="s">
        <v>257</v>
      </c>
      <c r="D80" t="s">
        <v>230</v>
      </c>
      <c r="E80" t="s">
        <v>96</v>
      </c>
      <c r="F80" s="2">
        <v>45915.753408423247</v>
      </c>
      <c r="G80">
        <v>4695.37</v>
      </c>
      <c r="H80" t="s">
        <v>52</v>
      </c>
      <c r="I80" t="s">
        <v>28</v>
      </c>
      <c r="J80">
        <v>82</v>
      </c>
      <c r="K80" t="s">
        <v>53</v>
      </c>
    </row>
    <row r="81" spans="1:11" x14ac:dyDescent="0.35">
      <c r="A81" t="s">
        <v>284</v>
      </c>
      <c r="B81" t="s">
        <v>285</v>
      </c>
      <c r="C81" t="s">
        <v>50</v>
      </c>
      <c r="D81" t="s">
        <v>286</v>
      </c>
      <c r="E81" t="s">
        <v>47</v>
      </c>
      <c r="F81" s="2">
        <v>45832.753408423247</v>
      </c>
      <c r="G81">
        <v>14536.27</v>
      </c>
      <c r="H81" t="s">
        <v>52</v>
      </c>
      <c r="I81" t="s">
        <v>28</v>
      </c>
      <c r="J81">
        <v>165</v>
      </c>
      <c r="K81" t="s">
        <v>53</v>
      </c>
    </row>
    <row r="82" spans="1:11" x14ac:dyDescent="0.35">
      <c r="A82" t="s">
        <v>287</v>
      </c>
      <c r="B82" t="s">
        <v>288</v>
      </c>
      <c r="C82" t="s">
        <v>45</v>
      </c>
      <c r="D82" t="s">
        <v>279</v>
      </c>
      <c r="E82" t="s">
        <v>145</v>
      </c>
      <c r="F82" s="2">
        <v>45967.753408423247</v>
      </c>
      <c r="G82">
        <v>22392.53</v>
      </c>
      <c r="H82" t="s">
        <v>65</v>
      </c>
      <c r="I82" t="s">
        <v>28</v>
      </c>
      <c r="J82">
        <v>30</v>
      </c>
      <c r="K82" t="s">
        <v>36</v>
      </c>
    </row>
    <row r="83" spans="1:11" x14ac:dyDescent="0.35">
      <c r="A83" t="s">
        <v>289</v>
      </c>
      <c r="B83" t="s">
        <v>290</v>
      </c>
      <c r="C83" t="s">
        <v>291</v>
      </c>
      <c r="D83" t="s">
        <v>137</v>
      </c>
      <c r="E83" t="s">
        <v>26</v>
      </c>
      <c r="F83" s="2">
        <v>45996.753408423247</v>
      </c>
      <c r="G83">
        <v>3547.82</v>
      </c>
      <c r="H83" t="s">
        <v>27</v>
      </c>
      <c r="I83" t="s">
        <v>28</v>
      </c>
      <c r="J83">
        <v>1</v>
      </c>
      <c r="K83" t="s">
        <v>53</v>
      </c>
    </row>
    <row r="84" spans="1:11" x14ac:dyDescent="0.35">
      <c r="A84" t="s">
        <v>292</v>
      </c>
      <c r="B84" t="s">
        <v>293</v>
      </c>
      <c r="C84" t="s">
        <v>129</v>
      </c>
      <c r="D84" t="s">
        <v>294</v>
      </c>
      <c r="E84" t="s">
        <v>64</v>
      </c>
      <c r="F84" s="2">
        <v>45922.753408423247</v>
      </c>
      <c r="G84">
        <v>4853.4399999999996</v>
      </c>
      <c r="H84" t="s">
        <v>58</v>
      </c>
      <c r="I84" t="s">
        <v>28</v>
      </c>
      <c r="J84">
        <v>75</v>
      </c>
      <c r="K84" t="s">
        <v>91</v>
      </c>
    </row>
    <row r="85" spans="1:11" x14ac:dyDescent="0.35">
      <c r="A85" t="s">
        <v>295</v>
      </c>
      <c r="B85" t="s">
        <v>296</v>
      </c>
      <c r="C85" t="s">
        <v>32</v>
      </c>
      <c r="D85" t="s">
        <v>100</v>
      </c>
      <c r="E85" t="s">
        <v>26</v>
      </c>
      <c r="F85" s="2">
        <v>45873.753408423247</v>
      </c>
      <c r="G85">
        <v>924.52</v>
      </c>
      <c r="H85" t="s">
        <v>27</v>
      </c>
      <c r="I85" t="s">
        <v>28</v>
      </c>
      <c r="J85">
        <v>124</v>
      </c>
      <c r="K85" t="s">
        <v>53</v>
      </c>
    </row>
    <row r="86" spans="1:11" x14ac:dyDescent="0.35">
      <c r="A86" t="s">
        <v>297</v>
      </c>
      <c r="B86" t="s">
        <v>298</v>
      </c>
      <c r="C86" t="s">
        <v>257</v>
      </c>
      <c r="D86" t="s">
        <v>63</v>
      </c>
      <c r="E86" t="s">
        <v>96</v>
      </c>
      <c r="F86" s="2">
        <v>45995.753408423247</v>
      </c>
      <c r="G86">
        <v>5332.09</v>
      </c>
      <c r="H86" t="s">
        <v>27</v>
      </c>
      <c r="I86" t="s">
        <v>35</v>
      </c>
      <c r="J86">
        <v>2</v>
      </c>
      <c r="K86" t="s">
        <v>53</v>
      </c>
    </row>
    <row r="87" spans="1:11" x14ac:dyDescent="0.35">
      <c r="A87" t="s">
        <v>299</v>
      </c>
      <c r="B87" t="s">
        <v>300</v>
      </c>
      <c r="C87" t="s">
        <v>200</v>
      </c>
      <c r="D87" t="s">
        <v>301</v>
      </c>
      <c r="E87" t="s">
        <v>64</v>
      </c>
      <c r="F87" s="2">
        <v>45997.753408423247</v>
      </c>
      <c r="G87">
        <v>3296.86</v>
      </c>
      <c r="H87" t="s">
        <v>52</v>
      </c>
      <c r="I87" t="s">
        <v>28</v>
      </c>
      <c r="J87">
        <v>0</v>
      </c>
      <c r="K87" t="s">
        <v>66</v>
      </c>
    </row>
    <row r="88" spans="1:11" x14ac:dyDescent="0.35">
      <c r="A88" t="s">
        <v>302</v>
      </c>
      <c r="B88" t="s">
        <v>303</v>
      </c>
      <c r="C88" t="s">
        <v>89</v>
      </c>
      <c r="D88" t="s">
        <v>235</v>
      </c>
      <c r="E88" t="s">
        <v>47</v>
      </c>
      <c r="F88" s="2">
        <v>45942.753408423247</v>
      </c>
      <c r="G88">
        <v>25443.87</v>
      </c>
      <c r="H88" t="s">
        <v>65</v>
      </c>
      <c r="I88" t="s">
        <v>28</v>
      </c>
      <c r="J88">
        <v>55</v>
      </c>
      <c r="K88" t="s">
        <v>36</v>
      </c>
    </row>
    <row r="89" spans="1:11" x14ac:dyDescent="0.35">
      <c r="A89" t="s">
        <v>304</v>
      </c>
      <c r="B89" t="s">
        <v>305</v>
      </c>
      <c r="C89" t="s">
        <v>32</v>
      </c>
      <c r="D89" t="s">
        <v>215</v>
      </c>
      <c r="E89" t="s">
        <v>96</v>
      </c>
      <c r="F89" s="2">
        <v>45858.753408423247</v>
      </c>
      <c r="G89">
        <v>15976.32</v>
      </c>
      <c r="H89" t="s">
        <v>71</v>
      </c>
      <c r="I89" t="s">
        <v>28</v>
      </c>
      <c r="J89">
        <v>139</v>
      </c>
      <c r="K89" t="s">
        <v>36</v>
      </c>
    </row>
    <row r="90" spans="1:11" x14ac:dyDescent="0.35">
      <c r="A90" t="s">
        <v>306</v>
      </c>
      <c r="B90" t="s">
        <v>307</v>
      </c>
      <c r="C90" t="s">
        <v>308</v>
      </c>
      <c r="D90" t="s">
        <v>309</v>
      </c>
      <c r="E90" t="s">
        <v>41</v>
      </c>
      <c r="F90" s="2">
        <v>45936.753408423247</v>
      </c>
      <c r="G90">
        <v>35322.269999999997</v>
      </c>
      <c r="H90" t="s">
        <v>27</v>
      </c>
      <c r="I90" t="s">
        <v>28</v>
      </c>
      <c r="J90">
        <v>61</v>
      </c>
      <c r="K90" t="s">
        <v>29</v>
      </c>
    </row>
    <row r="91" spans="1:11" x14ac:dyDescent="0.35">
      <c r="A91" t="s">
        <v>310</v>
      </c>
      <c r="B91" t="s">
        <v>311</v>
      </c>
      <c r="C91" t="s">
        <v>24</v>
      </c>
      <c r="D91" t="s">
        <v>90</v>
      </c>
      <c r="E91" t="s">
        <v>96</v>
      </c>
      <c r="F91" s="2">
        <v>45874.753408423247</v>
      </c>
      <c r="G91">
        <v>28629.759999999998</v>
      </c>
      <c r="H91" t="s">
        <v>42</v>
      </c>
      <c r="I91" t="s">
        <v>28</v>
      </c>
      <c r="J91">
        <v>123</v>
      </c>
      <c r="K91" t="s">
        <v>36</v>
      </c>
    </row>
    <row r="92" spans="1:11" x14ac:dyDescent="0.35">
      <c r="A92" t="s">
        <v>312</v>
      </c>
      <c r="B92" t="s">
        <v>313</v>
      </c>
      <c r="C92" t="s">
        <v>50</v>
      </c>
      <c r="D92" t="s">
        <v>75</v>
      </c>
      <c r="E92" t="s">
        <v>34</v>
      </c>
      <c r="F92" s="2">
        <v>45955.753408423247</v>
      </c>
      <c r="G92">
        <v>1936.09</v>
      </c>
      <c r="H92" t="s">
        <v>58</v>
      </c>
      <c r="I92" t="s">
        <v>28</v>
      </c>
      <c r="J92">
        <v>42</v>
      </c>
      <c r="K92" t="s">
        <v>91</v>
      </c>
    </row>
    <row r="93" spans="1:11" x14ac:dyDescent="0.35">
      <c r="A93" t="s">
        <v>314</v>
      </c>
      <c r="B93" t="s">
        <v>315</v>
      </c>
      <c r="C93" t="s">
        <v>45</v>
      </c>
      <c r="D93" t="s">
        <v>316</v>
      </c>
      <c r="E93" t="s">
        <v>34</v>
      </c>
      <c r="F93" s="2">
        <v>46020.753408423247</v>
      </c>
      <c r="G93">
        <v>4850.26</v>
      </c>
      <c r="H93" t="s">
        <v>71</v>
      </c>
      <c r="I93" t="s">
        <v>28</v>
      </c>
      <c r="J93">
        <v>-23</v>
      </c>
      <c r="K93" t="s">
        <v>91</v>
      </c>
    </row>
    <row r="94" spans="1:11" x14ac:dyDescent="0.35">
      <c r="A94" t="s">
        <v>317</v>
      </c>
      <c r="B94" t="s">
        <v>318</v>
      </c>
      <c r="C94" t="s">
        <v>69</v>
      </c>
      <c r="D94" t="s">
        <v>173</v>
      </c>
      <c r="E94" t="s">
        <v>41</v>
      </c>
      <c r="F94" s="2">
        <v>45854.753408423247</v>
      </c>
      <c r="G94">
        <v>11454.38</v>
      </c>
      <c r="H94" t="s">
        <v>27</v>
      </c>
      <c r="I94" t="s">
        <v>59</v>
      </c>
      <c r="J94">
        <v>143</v>
      </c>
      <c r="K94" t="s">
        <v>29</v>
      </c>
    </row>
    <row r="95" spans="1:11" x14ac:dyDescent="0.35">
      <c r="A95" t="s">
        <v>319</v>
      </c>
      <c r="B95" t="s">
        <v>320</v>
      </c>
      <c r="C95" t="s">
        <v>168</v>
      </c>
      <c r="D95" t="s">
        <v>177</v>
      </c>
      <c r="E95" t="s">
        <v>41</v>
      </c>
      <c r="F95" s="2">
        <v>45941.753408423247</v>
      </c>
      <c r="G95">
        <v>23458.71</v>
      </c>
      <c r="H95" t="s">
        <v>27</v>
      </c>
      <c r="I95" t="s">
        <v>28</v>
      </c>
      <c r="J95">
        <v>56</v>
      </c>
      <c r="K95" t="s">
        <v>66</v>
      </c>
    </row>
    <row r="96" spans="1:11" x14ac:dyDescent="0.35">
      <c r="A96" t="s">
        <v>321</v>
      </c>
      <c r="B96" t="s">
        <v>322</v>
      </c>
      <c r="C96" t="s">
        <v>168</v>
      </c>
      <c r="D96" t="s">
        <v>323</v>
      </c>
      <c r="E96" t="s">
        <v>34</v>
      </c>
      <c r="F96" s="2">
        <v>45923.753408423247</v>
      </c>
      <c r="G96">
        <v>19519.89</v>
      </c>
      <c r="H96" t="s">
        <v>27</v>
      </c>
      <c r="I96" t="s">
        <v>59</v>
      </c>
      <c r="J96">
        <v>74</v>
      </c>
      <c r="K96" t="s">
        <v>36</v>
      </c>
    </row>
    <row r="97" spans="1:11" x14ac:dyDescent="0.35">
      <c r="A97" t="s">
        <v>324</v>
      </c>
      <c r="B97" t="s">
        <v>325</v>
      </c>
      <c r="C97" t="s">
        <v>200</v>
      </c>
      <c r="D97" t="s">
        <v>188</v>
      </c>
      <c r="E97" t="s">
        <v>26</v>
      </c>
      <c r="F97" s="2">
        <v>45973.753408423247</v>
      </c>
      <c r="G97">
        <v>61214.8</v>
      </c>
      <c r="H97" t="s">
        <v>71</v>
      </c>
      <c r="I97" t="s">
        <v>28</v>
      </c>
      <c r="J97">
        <v>24</v>
      </c>
      <c r="K97" t="s">
        <v>66</v>
      </c>
    </row>
    <row r="98" spans="1:11" x14ac:dyDescent="0.35">
      <c r="A98" t="s">
        <v>326</v>
      </c>
      <c r="B98" t="s">
        <v>327</v>
      </c>
      <c r="C98" t="s">
        <v>257</v>
      </c>
      <c r="D98" t="s">
        <v>328</v>
      </c>
      <c r="E98" t="s">
        <v>34</v>
      </c>
      <c r="F98" s="2">
        <v>45937.753408423247</v>
      </c>
      <c r="G98">
        <v>3235.44</v>
      </c>
      <c r="H98" t="s">
        <v>27</v>
      </c>
      <c r="I98" t="s">
        <v>28</v>
      </c>
      <c r="J98">
        <v>60</v>
      </c>
      <c r="K98" t="s">
        <v>29</v>
      </c>
    </row>
    <row r="99" spans="1:11" x14ac:dyDescent="0.35">
      <c r="A99" t="s">
        <v>329</v>
      </c>
      <c r="B99" t="s">
        <v>285</v>
      </c>
      <c r="C99" t="s">
        <v>69</v>
      </c>
      <c r="D99" t="s">
        <v>57</v>
      </c>
      <c r="E99" t="s">
        <v>34</v>
      </c>
      <c r="F99" s="2">
        <v>45846.753408423247</v>
      </c>
      <c r="G99">
        <v>7303.65</v>
      </c>
      <c r="H99" t="s">
        <v>71</v>
      </c>
      <c r="I99" t="s">
        <v>28</v>
      </c>
      <c r="J99">
        <v>151</v>
      </c>
      <c r="K99" t="s">
        <v>66</v>
      </c>
    </row>
    <row r="100" spans="1:11" x14ac:dyDescent="0.35">
      <c r="A100" t="s">
        <v>330</v>
      </c>
      <c r="B100" t="s">
        <v>331</v>
      </c>
      <c r="C100" t="s">
        <v>78</v>
      </c>
      <c r="D100" t="s">
        <v>153</v>
      </c>
      <c r="E100" t="s">
        <v>41</v>
      </c>
      <c r="F100" s="2">
        <v>45887.753408423247</v>
      </c>
      <c r="G100">
        <v>551.74</v>
      </c>
      <c r="H100" t="s">
        <v>65</v>
      </c>
      <c r="I100" t="s">
        <v>28</v>
      </c>
      <c r="J100">
        <v>110</v>
      </c>
      <c r="K100" t="s">
        <v>29</v>
      </c>
    </row>
    <row r="101" spans="1:11" x14ac:dyDescent="0.35">
      <c r="A101" t="s">
        <v>332</v>
      </c>
      <c r="B101" t="s">
        <v>333</v>
      </c>
      <c r="C101" t="s">
        <v>62</v>
      </c>
      <c r="D101" t="s">
        <v>334</v>
      </c>
      <c r="E101" t="s">
        <v>34</v>
      </c>
      <c r="F101" s="2">
        <v>46009.753408423247</v>
      </c>
      <c r="G101">
        <v>13080.04</v>
      </c>
      <c r="H101" t="s">
        <v>65</v>
      </c>
      <c r="I101" t="s">
        <v>28</v>
      </c>
      <c r="J101">
        <v>-12</v>
      </c>
      <c r="K101" t="s">
        <v>53</v>
      </c>
    </row>
    <row r="102" spans="1:11" x14ac:dyDescent="0.35">
      <c r="A102" t="s">
        <v>335</v>
      </c>
      <c r="B102" t="s">
        <v>336</v>
      </c>
      <c r="C102" t="s">
        <v>200</v>
      </c>
      <c r="D102" t="s">
        <v>75</v>
      </c>
      <c r="E102" t="s">
        <v>145</v>
      </c>
      <c r="F102" s="2">
        <v>45851.753408423247</v>
      </c>
      <c r="G102">
        <v>11077.05</v>
      </c>
      <c r="H102" t="s">
        <v>71</v>
      </c>
      <c r="I102" t="s">
        <v>28</v>
      </c>
      <c r="J102">
        <v>146</v>
      </c>
      <c r="K102" t="s">
        <v>91</v>
      </c>
    </row>
    <row r="103" spans="1:11" x14ac:dyDescent="0.35">
      <c r="A103" t="s">
        <v>337</v>
      </c>
      <c r="B103" t="s">
        <v>338</v>
      </c>
      <c r="C103" t="s">
        <v>78</v>
      </c>
      <c r="D103" t="s">
        <v>279</v>
      </c>
      <c r="E103" t="s">
        <v>41</v>
      </c>
      <c r="F103" s="2">
        <v>45991.753408423247</v>
      </c>
      <c r="G103">
        <v>1249.78</v>
      </c>
      <c r="H103" t="s">
        <v>27</v>
      </c>
      <c r="I103" t="s">
        <v>28</v>
      </c>
      <c r="J103">
        <v>6</v>
      </c>
      <c r="K103" t="s">
        <v>36</v>
      </c>
    </row>
    <row r="104" spans="1:11" x14ac:dyDescent="0.35">
      <c r="A104" t="s">
        <v>339</v>
      </c>
      <c r="B104" t="s">
        <v>340</v>
      </c>
      <c r="C104" t="s">
        <v>129</v>
      </c>
      <c r="D104" t="s">
        <v>104</v>
      </c>
      <c r="E104" t="s">
        <v>41</v>
      </c>
      <c r="F104" s="2">
        <v>45839.753408423247</v>
      </c>
      <c r="G104">
        <v>23268.02</v>
      </c>
      <c r="H104" t="s">
        <v>27</v>
      </c>
      <c r="I104" t="s">
        <v>28</v>
      </c>
      <c r="J104">
        <v>158</v>
      </c>
      <c r="K104" t="s">
        <v>29</v>
      </c>
    </row>
    <row r="105" spans="1:11" x14ac:dyDescent="0.35">
      <c r="A105" t="s">
        <v>341</v>
      </c>
      <c r="B105" t="s">
        <v>342</v>
      </c>
      <c r="C105" t="s">
        <v>74</v>
      </c>
      <c r="D105" t="s">
        <v>177</v>
      </c>
      <c r="E105" t="s">
        <v>26</v>
      </c>
      <c r="F105" s="2">
        <v>45978.753408423247</v>
      </c>
      <c r="G105">
        <v>30844.1</v>
      </c>
      <c r="H105" t="s">
        <v>27</v>
      </c>
      <c r="I105" t="s">
        <v>28</v>
      </c>
      <c r="J105">
        <v>19</v>
      </c>
      <c r="K105" t="s">
        <v>53</v>
      </c>
    </row>
    <row r="106" spans="1:11" x14ac:dyDescent="0.35">
      <c r="A106" t="s">
        <v>343</v>
      </c>
      <c r="B106" t="s">
        <v>344</v>
      </c>
      <c r="C106" t="s">
        <v>45</v>
      </c>
      <c r="D106" t="s">
        <v>144</v>
      </c>
      <c r="E106" t="s">
        <v>26</v>
      </c>
      <c r="F106" s="2">
        <v>45905.753408423247</v>
      </c>
      <c r="G106">
        <v>13239.7</v>
      </c>
      <c r="H106" t="s">
        <v>71</v>
      </c>
      <c r="I106" t="s">
        <v>28</v>
      </c>
      <c r="J106">
        <v>92</v>
      </c>
      <c r="K106" t="s">
        <v>53</v>
      </c>
    </row>
    <row r="107" spans="1:11" x14ac:dyDescent="0.35">
      <c r="A107" t="s">
        <v>345</v>
      </c>
      <c r="B107" t="s">
        <v>346</v>
      </c>
      <c r="C107" t="s">
        <v>39</v>
      </c>
      <c r="D107" t="s">
        <v>301</v>
      </c>
      <c r="E107" t="s">
        <v>47</v>
      </c>
      <c r="F107" s="2">
        <v>46021.753408423247</v>
      </c>
      <c r="G107">
        <v>29128.12</v>
      </c>
      <c r="H107" t="s">
        <v>52</v>
      </c>
      <c r="I107" t="s">
        <v>28</v>
      </c>
      <c r="J107">
        <v>-24</v>
      </c>
      <c r="K107" t="s">
        <v>29</v>
      </c>
    </row>
    <row r="108" spans="1:11" x14ac:dyDescent="0.35">
      <c r="A108" t="s">
        <v>347</v>
      </c>
      <c r="B108" t="s">
        <v>348</v>
      </c>
      <c r="C108" t="s">
        <v>136</v>
      </c>
      <c r="D108" t="s">
        <v>349</v>
      </c>
      <c r="E108" t="s">
        <v>64</v>
      </c>
      <c r="F108" s="2">
        <v>45946.753408423247</v>
      </c>
      <c r="G108">
        <v>10949.31</v>
      </c>
      <c r="H108" t="s">
        <v>65</v>
      </c>
      <c r="I108" t="s">
        <v>59</v>
      </c>
      <c r="J108">
        <v>51</v>
      </c>
      <c r="K108" t="s">
        <v>66</v>
      </c>
    </row>
    <row r="109" spans="1:11" x14ac:dyDescent="0.35">
      <c r="A109" t="s">
        <v>350</v>
      </c>
      <c r="B109" t="s">
        <v>351</v>
      </c>
      <c r="C109" t="s">
        <v>24</v>
      </c>
      <c r="D109" t="s">
        <v>352</v>
      </c>
      <c r="E109" t="s">
        <v>145</v>
      </c>
      <c r="F109" s="2">
        <v>45986.753408423247</v>
      </c>
      <c r="G109">
        <v>72918.899999999994</v>
      </c>
      <c r="H109" t="s">
        <v>27</v>
      </c>
      <c r="I109" t="s">
        <v>59</v>
      </c>
      <c r="J109">
        <v>11</v>
      </c>
      <c r="K109" t="s">
        <v>66</v>
      </c>
    </row>
    <row r="110" spans="1:11" x14ac:dyDescent="0.35">
      <c r="A110" t="s">
        <v>353</v>
      </c>
      <c r="B110" t="s">
        <v>354</v>
      </c>
      <c r="C110" t="s">
        <v>125</v>
      </c>
      <c r="D110" t="s">
        <v>294</v>
      </c>
      <c r="E110" t="s">
        <v>145</v>
      </c>
      <c r="F110" s="2">
        <v>45969.753408423247</v>
      </c>
      <c r="G110">
        <v>13577.08</v>
      </c>
      <c r="H110" t="s">
        <v>27</v>
      </c>
      <c r="I110" t="s">
        <v>59</v>
      </c>
      <c r="J110">
        <v>28</v>
      </c>
      <c r="K110" t="s">
        <v>91</v>
      </c>
    </row>
    <row r="111" spans="1:11" x14ac:dyDescent="0.35">
      <c r="A111" t="s">
        <v>355</v>
      </c>
      <c r="B111" t="s">
        <v>356</v>
      </c>
      <c r="C111" t="s">
        <v>107</v>
      </c>
      <c r="D111" t="s">
        <v>244</v>
      </c>
      <c r="E111" t="s">
        <v>64</v>
      </c>
      <c r="F111" s="2">
        <v>45826.753408423247</v>
      </c>
      <c r="G111">
        <v>11234.5</v>
      </c>
      <c r="H111" t="s">
        <v>27</v>
      </c>
      <c r="I111" t="s">
        <v>28</v>
      </c>
      <c r="J111">
        <v>171</v>
      </c>
      <c r="K111" t="s">
        <v>53</v>
      </c>
    </row>
    <row r="112" spans="1:11" x14ac:dyDescent="0.35">
      <c r="A112" t="s">
        <v>357</v>
      </c>
      <c r="B112" t="s">
        <v>358</v>
      </c>
      <c r="C112" t="s">
        <v>56</v>
      </c>
      <c r="D112" t="s">
        <v>359</v>
      </c>
      <c r="E112" t="s">
        <v>64</v>
      </c>
      <c r="F112" s="2">
        <v>45947.753408423247</v>
      </c>
      <c r="G112">
        <v>24361.22</v>
      </c>
      <c r="H112" t="s">
        <v>71</v>
      </c>
      <c r="I112" t="s">
        <v>28</v>
      </c>
      <c r="J112">
        <v>50</v>
      </c>
      <c r="K112" t="s">
        <v>91</v>
      </c>
    </row>
    <row r="113" spans="1:11" x14ac:dyDescent="0.35">
      <c r="A113" t="s">
        <v>360</v>
      </c>
      <c r="B113" t="s">
        <v>361</v>
      </c>
      <c r="C113" t="s">
        <v>85</v>
      </c>
      <c r="D113" t="s">
        <v>362</v>
      </c>
      <c r="E113" t="s">
        <v>145</v>
      </c>
      <c r="F113" s="2">
        <v>45952.753408423247</v>
      </c>
      <c r="G113">
        <v>9764.83</v>
      </c>
      <c r="H113" t="s">
        <v>27</v>
      </c>
      <c r="I113" t="s">
        <v>28</v>
      </c>
      <c r="J113">
        <v>45</v>
      </c>
      <c r="K113" t="s">
        <v>53</v>
      </c>
    </row>
    <row r="114" spans="1:11" x14ac:dyDescent="0.35">
      <c r="A114" t="s">
        <v>363</v>
      </c>
      <c r="B114" t="s">
        <v>364</v>
      </c>
      <c r="C114" t="s">
        <v>107</v>
      </c>
      <c r="D114" t="s">
        <v>126</v>
      </c>
      <c r="E114" t="s">
        <v>96</v>
      </c>
      <c r="F114" s="2">
        <v>45878.753408423247</v>
      </c>
      <c r="G114">
        <v>39990.21</v>
      </c>
      <c r="H114" t="s">
        <v>27</v>
      </c>
      <c r="I114" t="s">
        <v>59</v>
      </c>
      <c r="J114">
        <v>119</v>
      </c>
      <c r="K114" t="s">
        <v>29</v>
      </c>
    </row>
    <row r="115" spans="1:11" x14ac:dyDescent="0.35">
      <c r="A115" t="s">
        <v>365</v>
      </c>
      <c r="B115" t="s">
        <v>366</v>
      </c>
      <c r="C115" t="s">
        <v>129</v>
      </c>
      <c r="D115" t="s">
        <v>367</v>
      </c>
      <c r="E115" t="s">
        <v>47</v>
      </c>
      <c r="F115" s="2">
        <v>45924.753408423247</v>
      </c>
      <c r="G115">
        <v>6837.45</v>
      </c>
      <c r="H115" t="s">
        <v>27</v>
      </c>
      <c r="I115" t="s">
        <v>28</v>
      </c>
      <c r="J115">
        <v>73</v>
      </c>
      <c r="K115" t="s">
        <v>91</v>
      </c>
    </row>
    <row r="116" spans="1:11" x14ac:dyDescent="0.35">
      <c r="A116" t="s">
        <v>368</v>
      </c>
      <c r="B116" t="s">
        <v>369</v>
      </c>
      <c r="C116" t="s">
        <v>103</v>
      </c>
      <c r="D116" t="s">
        <v>352</v>
      </c>
      <c r="E116" t="s">
        <v>26</v>
      </c>
      <c r="F116" s="2">
        <v>46033.753408423247</v>
      </c>
      <c r="G116">
        <v>4114.7299999999996</v>
      </c>
      <c r="H116" t="s">
        <v>52</v>
      </c>
      <c r="I116" t="s">
        <v>28</v>
      </c>
      <c r="J116">
        <v>-36</v>
      </c>
      <c r="K116" t="s">
        <v>66</v>
      </c>
    </row>
    <row r="117" spans="1:11" x14ac:dyDescent="0.35">
      <c r="A117" t="s">
        <v>370</v>
      </c>
      <c r="B117" t="s">
        <v>371</v>
      </c>
      <c r="C117" t="s">
        <v>129</v>
      </c>
      <c r="D117" t="s">
        <v>372</v>
      </c>
      <c r="E117" t="s">
        <v>34</v>
      </c>
      <c r="F117" s="2">
        <v>45847.753408423247</v>
      </c>
      <c r="G117">
        <v>19850.95</v>
      </c>
      <c r="H117" t="s">
        <v>65</v>
      </c>
      <c r="I117" t="s">
        <v>28</v>
      </c>
      <c r="J117">
        <v>150</v>
      </c>
      <c r="K117" t="s">
        <v>91</v>
      </c>
    </row>
    <row r="118" spans="1:11" x14ac:dyDescent="0.35">
      <c r="A118" t="s">
        <v>373</v>
      </c>
      <c r="B118" t="s">
        <v>374</v>
      </c>
      <c r="C118" t="s">
        <v>129</v>
      </c>
      <c r="D118" t="s">
        <v>182</v>
      </c>
      <c r="E118" t="s">
        <v>96</v>
      </c>
      <c r="F118" s="2">
        <v>46007.753408423247</v>
      </c>
      <c r="G118">
        <v>7430.58</v>
      </c>
      <c r="H118" t="s">
        <v>27</v>
      </c>
      <c r="I118" t="s">
        <v>28</v>
      </c>
      <c r="J118">
        <v>-10</v>
      </c>
      <c r="K118" t="s">
        <v>29</v>
      </c>
    </row>
    <row r="119" spans="1:11" x14ac:dyDescent="0.35">
      <c r="A119" t="s">
        <v>375</v>
      </c>
      <c r="B119" t="s">
        <v>376</v>
      </c>
      <c r="C119" t="s">
        <v>56</v>
      </c>
      <c r="D119" t="s">
        <v>377</v>
      </c>
      <c r="E119" t="s">
        <v>47</v>
      </c>
      <c r="F119" s="2">
        <v>45922.753408423247</v>
      </c>
      <c r="G119">
        <v>76398.570000000007</v>
      </c>
      <c r="H119" t="s">
        <v>65</v>
      </c>
      <c r="I119" t="s">
        <v>28</v>
      </c>
      <c r="J119">
        <v>75</v>
      </c>
      <c r="K119" t="s">
        <v>29</v>
      </c>
    </row>
    <row r="120" spans="1:11" x14ac:dyDescent="0.35">
      <c r="A120" t="s">
        <v>378</v>
      </c>
      <c r="B120" t="s">
        <v>379</v>
      </c>
      <c r="C120" t="s">
        <v>129</v>
      </c>
      <c r="D120" t="s">
        <v>380</v>
      </c>
      <c r="E120" t="s">
        <v>145</v>
      </c>
      <c r="F120" s="2">
        <v>45988.753408423247</v>
      </c>
      <c r="G120">
        <v>30537.63</v>
      </c>
      <c r="H120" t="s">
        <v>27</v>
      </c>
      <c r="I120" t="s">
        <v>28</v>
      </c>
      <c r="J120">
        <v>9</v>
      </c>
      <c r="K120" t="s">
        <v>29</v>
      </c>
    </row>
    <row r="121" spans="1:11" x14ac:dyDescent="0.35">
      <c r="A121" t="s">
        <v>381</v>
      </c>
      <c r="B121" t="s">
        <v>382</v>
      </c>
      <c r="C121" t="s">
        <v>24</v>
      </c>
      <c r="D121" t="s">
        <v>115</v>
      </c>
      <c r="E121" t="s">
        <v>34</v>
      </c>
      <c r="F121" s="2">
        <v>45930.753408423247</v>
      </c>
      <c r="G121">
        <v>7663.67</v>
      </c>
      <c r="H121" t="s">
        <v>65</v>
      </c>
      <c r="I121" t="s">
        <v>28</v>
      </c>
      <c r="J121">
        <v>67</v>
      </c>
      <c r="K121" t="s">
        <v>36</v>
      </c>
    </row>
    <row r="122" spans="1:11" x14ac:dyDescent="0.35">
      <c r="A122" t="s">
        <v>383</v>
      </c>
      <c r="B122" t="s">
        <v>384</v>
      </c>
      <c r="C122" t="s">
        <v>308</v>
      </c>
      <c r="D122" t="s">
        <v>119</v>
      </c>
      <c r="E122" t="s">
        <v>64</v>
      </c>
      <c r="F122" s="2">
        <v>45956.753408423247</v>
      </c>
      <c r="G122">
        <v>5096.16</v>
      </c>
      <c r="H122" t="s">
        <v>65</v>
      </c>
      <c r="I122" t="s">
        <v>59</v>
      </c>
      <c r="J122">
        <v>41</v>
      </c>
      <c r="K122" t="s">
        <v>36</v>
      </c>
    </row>
    <row r="123" spans="1:11" x14ac:dyDescent="0.35">
      <c r="A123" t="s">
        <v>385</v>
      </c>
      <c r="B123" t="s">
        <v>386</v>
      </c>
      <c r="C123" t="s">
        <v>103</v>
      </c>
      <c r="D123" t="s">
        <v>387</v>
      </c>
      <c r="E123" t="s">
        <v>64</v>
      </c>
      <c r="F123" s="2">
        <v>45895.753408423247</v>
      </c>
      <c r="G123">
        <v>5134.91</v>
      </c>
      <c r="H123" t="s">
        <v>58</v>
      </c>
      <c r="I123" t="s">
        <v>35</v>
      </c>
      <c r="J123">
        <v>102</v>
      </c>
      <c r="K123" t="s">
        <v>29</v>
      </c>
    </row>
    <row r="124" spans="1:11" x14ac:dyDescent="0.35">
      <c r="A124" t="s">
        <v>388</v>
      </c>
      <c r="B124" t="s">
        <v>389</v>
      </c>
      <c r="C124" t="s">
        <v>99</v>
      </c>
      <c r="D124" t="s">
        <v>390</v>
      </c>
      <c r="E124" t="s">
        <v>41</v>
      </c>
      <c r="F124" s="2">
        <v>45981.753408423247</v>
      </c>
      <c r="G124">
        <v>36221.269999999997</v>
      </c>
      <c r="H124" t="s">
        <v>27</v>
      </c>
      <c r="I124" t="s">
        <v>28</v>
      </c>
      <c r="J124">
        <v>16</v>
      </c>
      <c r="K124" t="s">
        <v>53</v>
      </c>
    </row>
    <row r="125" spans="1:11" x14ac:dyDescent="0.35">
      <c r="A125" t="s">
        <v>391</v>
      </c>
      <c r="B125" t="s">
        <v>392</v>
      </c>
      <c r="C125" t="s">
        <v>168</v>
      </c>
      <c r="D125" t="s">
        <v>266</v>
      </c>
      <c r="E125" t="s">
        <v>47</v>
      </c>
      <c r="F125" s="2">
        <v>46027.753408423247</v>
      </c>
      <c r="G125">
        <v>54517.09</v>
      </c>
      <c r="H125" t="s">
        <v>65</v>
      </c>
      <c r="I125" t="s">
        <v>28</v>
      </c>
      <c r="J125">
        <v>-30</v>
      </c>
      <c r="K125" t="s">
        <v>29</v>
      </c>
    </row>
    <row r="126" spans="1:11" x14ac:dyDescent="0.35">
      <c r="A126" t="s">
        <v>393</v>
      </c>
      <c r="B126" t="s">
        <v>394</v>
      </c>
      <c r="C126" t="s">
        <v>125</v>
      </c>
      <c r="D126" t="s">
        <v>316</v>
      </c>
      <c r="E126" t="s">
        <v>26</v>
      </c>
      <c r="F126" s="2">
        <v>45950.753408423247</v>
      </c>
      <c r="G126">
        <v>12135.13</v>
      </c>
      <c r="H126" t="s">
        <v>71</v>
      </c>
      <c r="I126" t="s">
        <v>28</v>
      </c>
      <c r="J126">
        <v>47</v>
      </c>
      <c r="K126" t="s">
        <v>29</v>
      </c>
    </row>
    <row r="127" spans="1:11" x14ac:dyDescent="0.35">
      <c r="A127" t="s">
        <v>395</v>
      </c>
      <c r="B127" t="s">
        <v>396</v>
      </c>
      <c r="C127" t="s">
        <v>69</v>
      </c>
      <c r="D127" t="s">
        <v>235</v>
      </c>
      <c r="E127" t="s">
        <v>145</v>
      </c>
      <c r="F127" s="2">
        <v>45867.753408423247</v>
      </c>
      <c r="G127">
        <v>2437.36</v>
      </c>
      <c r="H127" t="s">
        <v>27</v>
      </c>
      <c r="I127" t="s">
        <v>35</v>
      </c>
      <c r="J127">
        <v>130</v>
      </c>
      <c r="K127" t="s">
        <v>36</v>
      </c>
    </row>
    <row r="128" spans="1:11" x14ac:dyDescent="0.35">
      <c r="A128" t="s">
        <v>397</v>
      </c>
      <c r="B128" t="s">
        <v>398</v>
      </c>
      <c r="C128" t="s">
        <v>85</v>
      </c>
      <c r="D128" t="s">
        <v>349</v>
      </c>
      <c r="E128" t="s">
        <v>96</v>
      </c>
      <c r="F128" s="2">
        <v>46005.753408423247</v>
      </c>
      <c r="G128">
        <v>2987.86</v>
      </c>
      <c r="H128" t="s">
        <v>65</v>
      </c>
      <c r="I128" t="s">
        <v>35</v>
      </c>
      <c r="J128">
        <v>-8</v>
      </c>
      <c r="K128" t="s">
        <v>36</v>
      </c>
    </row>
    <row r="129" spans="1:11" x14ac:dyDescent="0.35">
      <c r="A129" t="s">
        <v>399</v>
      </c>
      <c r="B129" t="s">
        <v>400</v>
      </c>
      <c r="C129" t="s">
        <v>129</v>
      </c>
      <c r="D129" t="s">
        <v>82</v>
      </c>
      <c r="E129" t="s">
        <v>34</v>
      </c>
      <c r="F129" s="2">
        <v>45862.753408423247</v>
      </c>
      <c r="G129">
        <v>9559.02</v>
      </c>
      <c r="H129" t="s">
        <v>27</v>
      </c>
      <c r="I129" t="s">
        <v>59</v>
      </c>
      <c r="J129">
        <v>135</v>
      </c>
      <c r="K129" t="s">
        <v>91</v>
      </c>
    </row>
    <row r="130" spans="1:11" x14ac:dyDescent="0.35">
      <c r="A130" t="s">
        <v>401</v>
      </c>
      <c r="B130" t="s">
        <v>402</v>
      </c>
      <c r="C130" t="s">
        <v>107</v>
      </c>
      <c r="D130" t="s">
        <v>122</v>
      </c>
      <c r="E130" t="s">
        <v>64</v>
      </c>
      <c r="F130" s="2">
        <v>45982.753408423247</v>
      </c>
      <c r="G130">
        <v>16999.03</v>
      </c>
      <c r="H130" t="s">
        <v>65</v>
      </c>
      <c r="I130" t="s">
        <v>28</v>
      </c>
      <c r="J130">
        <v>15</v>
      </c>
      <c r="K130" t="s">
        <v>53</v>
      </c>
    </row>
    <row r="131" spans="1:11" x14ac:dyDescent="0.35">
      <c r="A131" t="s">
        <v>403</v>
      </c>
      <c r="B131" t="s">
        <v>404</v>
      </c>
      <c r="C131" t="s">
        <v>32</v>
      </c>
      <c r="D131" t="s">
        <v>137</v>
      </c>
      <c r="E131" t="s">
        <v>41</v>
      </c>
      <c r="F131" s="2">
        <v>45861.753408423247</v>
      </c>
      <c r="G131">
        <v>14603.17</v>
      </c>
      <c r="H131" t="s">
        <v>52</v>
      </c>
      <c r="I131" t="s">
        <v>35</v>
      </c>
      <c r="J131">
        <v>136</v>
      </c>
      <c r="K131" t="s">
        <v>29</v>
      </c>
    </row>
    <row r="132" spans="1:11" x14ac:dyDescent="0.35">
      <c r="A132" t="s">
        <v>405</v>
      </c>
      <c r="B132" t="s">
        <v>406</v>
      </c>
      <c r="C132" t="s">
        <v>129</v>
      </c>
      <c r="D132" t="s">
        <v>387</v>
      </c>
      <c r="E132" t="s">
        <v>41</v>
      </c>
      <c r="F132" s="2">
        <v>45893.753408423247</v>
      </c>
      <c r="G132">
        <v>9622.43</v>
      </c>
      <c r="H132" t="s">
        <v>27</v>
      </c>
      <c r="I132" t="s">
        <v>59</v>
      </c>
      <c r="J132">
        <v>104</v>
      </c>
      <c r="K132" t="s">
        <v>53</v>
      </c>
    </row>
    <row r="133" spans="1:11" x14ac:dyDescent="0.35">
      <c r="A133" t="s">
        <v>407</v>
      </c>
      <c r="B133" t="s">
        <v>408</v>
      </c>
      <c r="C133" t="s">
        <v>56</v>
      </c>
      <c r="D133" t="s">
        <v>150</v>
      </c>
      <c r="E133" t="s">
        <v>26</v>
      </c>
      <c r="F133" s="2">
        <v>45839.753408423247</v>
      </c>
      <c r="G133">
        <v>14991.89</v>
      </c>
      <c r="H133" t="s">
        <v>42</v>
      </c>
      <c r="I133" t="s">
        <v>28</v>
      </c>
      <c r="J133">
        <v>158</v>
      </c>
      <c r="K133" t="s">
        <v>29</v>
      </c>
    </row>
    <row r="135" spans="1:11" x14ac:dyDescent="0.35">
      <c r="A135" s="5" t="s">
        <v>580</v>
      </c>
      <c r="B135" s="5"/>
    </row>
    <row r="136" spans="1:11" x14ac:dyDescent="0.35">
      <c r="A136" s="6" t="s">
        <v>577</v>
      </c>
      <c r="B136" s="7" t="s">
        <v>579</v>
      </c>
    </row>
    <row r="137" spans="1:11" x14ac:dyDescent="0.35">
      <c r="A137" s="8" t="s">
        <v>35</v>
      </c>
      <c r="B137" s="9">
        <v>251909.08</v>
      </c>
    </row>
    <row r="138" spans="1:11" x14ac:dyDescent="0.35">
      <c r="A138" s="8" t="s">
        <v>28</v>
      </c>
      <c r="B138" s="9">
        <v>1358152.7699999996</v>
      </c>
    </row>
    <row r="139" spans="1:11" x14ac:dyDescent="0.35">
      <c r="A139" s="8" t="s">
        <v>59</v>
      </c>
      <c r="B139" s="9">
        <v>503967.39000000013</v>
      </c>
    </row>
    <row r="140" spans="1:11" x14ac:dyDescent="0.35">
      <c r="A140" s="8" t="s">
        <v>578</v>
      </c>
      <c r="B140" s="9">
        <v>2114029.2399999998</v>
      </c>
    </row>
  </sheetData>
  <mergeCells count="1">
    <mergeCell ref="A135:B135"/>
  </mergeCells>
  <pageMargins left="0.75" right="0.75" top="1" bottom="1" header="0.5" footer="0.5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9"/>
  <sheetViews>
    <sheetView workbookViewId="0"/>
  </sheetViews>
  <sheetFormatPr defaultRowHeight="14.5" x14ac:dyDescent="0.35"/>
  <sheetData>
    <row r="1" spans="1:11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409</v>
      </c>
      <c r="H1" s="1" t="s">
        <v>17</v>
      </c>
      <c r="I1" s="1" t="s">
        <v>18</v>
      </c>
      <c r="J1" s="1" t="s">
        <v>410</v>
      </c>
      <c r="K1" s="1" t="s">
        <v>20</v>
      </c>
    </row>
    <row r="2" spans="1:11" x14ac:dyDescent="0.35">
      <c r="A2" t="s">
        <v>411</v>
      </c>
      <c r="B2" t="s">
        <v>412</v>
      </c>
      <c r="C2" t="s">
        <v>200</v>
      </c>
      <c r="D2" t="s">
        <v>413</v>
      </c>
      <c r="E2" t="s">
        <v>64</v>
      </c>
      <c r="F2" s="2">
        <v>45900.753408423247</v>
      </c>
      <c r="G2" s="2">
        <v>45935.753408423247</v>
      </c>
      <c r="H2">
        <v>13033.73</v>
      </c>
      <c r="I2" t="s">
        <v>71</v>
      </c>
      <c r="J2" t="s">
        <v>414</v>
      </c>
      <c r="K2">
        <v>35</v>
      </c>
    </row>
    <row r="3" spans="1:11" x14ac:dyDescent="0.35">
      <c r="A3" t="s">
        <v>415</v>
      </c>
      <c r="B3" t="s">
        <v>416</v>
      </c>
      <c r="C3" t="s">
        <v>114</v>
      </c>
      <c r="D3" t="s">
        <v>239</v>
      </c>
      <c r="E3" t="s">
        <v>34</v>
      </c>
      <c r="F3" s="2">
        <v>46002.753408423247</v>
      </c>
      <c r="G3" s="2">
        <v>46064.753408423247</v>
      </c>
      <c r="H3">
        <v>24726.76</v>
      </c>
      <c r="I3" t="s">
        <v>27</v>
      </c>
      <c r="J3" t="s">
        <v>414</v>
      </c>
      <c r="K3">
        <v>62</v>
      </c>
    </row>
    <row r="4" spans="1:11" x14ac:dyDescent="0.35">
      <c r="A4" t="s">
        <v>417</v>
      </c>
      <c r="B4" t="s">
        <v>418</v>
      </c>
      <c r="C4" t="s">
        <v>56</v>
      </c>
      <c r="D4" t="s">
        <v>191</v>
      </c>
      <c r="E4" t="s">
        <v>145</v>
      </c>
      <c r="F4" s="2">
        <v>45893.753408423247</v>
      </c>
      <c r="G4" s="2">
        <v>45925.753408423247</v>
      </c>
      <c r="H4">
        <v>4510.95</v>
      </c>
      <c r="I4" t="s">
        <v>27</v>
      </c>
      <c r="J4" t="s">
        <v>419</v>
      </c>
      <c r="K4">
        <v>32</v>
      </c>
    </row>
    <row r="5" spans="1:11" x14ac:dyDescent="0.35">
      <c r="A5" t="s">
        <v>420</v>
      </c>
      <c r="B5" t="s">
        <v>421</v>
      </c>
      <c r="C5" t="s">
        <v>103</v>
      </c>
      <c r="D5" t="s">
        <v>194</v>
      </c>
      <c r="E5" t="s">
        <v>64</v>
      </c>
      <c r="F5" s="2">
        <v>45921.753408423247</v>
      </c>
      <c r="G5" s="2">
        <v>45928.753408423247</v>
      </c>
      <c r="H5">
        <v>9782.2199999999993</v>
      </c>
      <c r="I5" t="s">
        <v>65</v>
      </c>
      <c r="J5" t="s">
        <v>419</v>
      </c>
      <c r="K5">
        <v>7</v>
      </c>
    </row>
    <row r="6" spans="1:11" x14ac:dyDescent="0.35">
      <c r="A6" t="s">
        <v>422</v>
      </c>
      <c r="B6" t="s">
        <v>423</v>
      </c>
      <c r="C6" t="s">
        <v>94</v>
      </c>
      <c r="D6" t="s">
        <v>250</v>
      </c>
      <c r="E6" t="s">
        <v>41</v>
      </c>
      <c r="F6" s="2">
        <v>45905.753408423247</v>
      </c>
      <c r="G6" s="2">
        <v>45913.753408423247</v>
      </c>
      <c r="H6">
        <v>26388.55</v>
      </c>
      <c r="I6" t="s">
        <v>27</v>
      </c>
      <c r="J6" t="s">
        <v>424</v>
      </c>
      <c r="K6">
        <v>8</v>
      </c>
    </row>
    <row r="7" spans="1:11" x14ac:dyDescent="0.35">
      <c r="A7" t="s">
        <v>425</v>
      </c>
      <c r="B7" t="s">
        <v>426</v>
      </c>
      <c r="C7" t="s">
        <v>94</v>
      </c>
      <c r="D7" t="s">
        <v>427</v>
      </c>
      <c r="E7" t="s">
        <v>41</v>
      </c>
      <c r="F7" s="2">
        <v>45953.753408423247</v>
      </c>
      <c r="G7" s="2">
        <v>45974.753408423247</v>
      </c>
      <c r="H7">
        <v>18301.650000000001</v>
      </c>
      <c r="I7" t="s">
        <v>58</v>
      </c>
      <c r="J7" t="s">
        <v>419</v>
      </c>
      <c r="K7">
        <v>21</v>
      </c>
    </row>
    <row r="8" spans="1:11" x14ac:dyDescent="0.35">
      <c r="A8" t="s">
        <v>428</v>
      </c>
      <c r="B8" t="s">
        <v>429</v>
      </c>
      <c r="C8" t="s">
        <v>176</v>
      </c>
      <c r="D8" t="s">
        <v>104</v>
      </c>
      <c r="E8" t="s">
        <v>64</v>
      </c>
      <c r="F8" s="2">
        <v>45883.753408423247</v>
      </c>
      <c r="G8" s="2">
        <v>45929.753408423247</v>
      </c>
      <c r="H8">
        <v>4012.19</v>
      </c>
      <c r="I8" t="s">
        <v>42</v>
      </c>
      <c r="J8" t="s">
        <v>430</v>
      </c>
      <c r="K8">
        <v>46</v>
      </c>
    </row>
    <row r="9" spans="1:11" x14ac:dyDescent="0.35">
      <c r="A9" t="s">
        <v>431</v>
      </c>
      <c r="B9" t="s">
        <v>432</v>
      </c>
      <c r="C9" t="s">
        <v>143</v>
      </c>
      <c r="D9" t="s">
        <v>33</v>
      </c>
      <c r="E9" t="s">
        <v>145</v>
      </c>
      <c r="F9" s="2">
        <v>45946.753408423247</v>
      </c>
      <c r="G9" s="2">
        <v>45964.753408423247</v>
      </c>
      <c r="H9">
        <v>26100.27</v>
      </c>
      <c r="I9" t="s">
        <v>27</v>
      </c>
      <c r="J9" t="s">
        <v>419</v>
      </c>
      <c r="K9">
        <v>18</v>
      </c>
    </row>
    <row r="10" spans="1:11" x14ac:dyDescent="0.35">
      <c r="A10" t="s">
        <v>433</v>
      </c>
      <c r="B10" t="s">
        <v>434</v>
      </c>
      <c r="C10" t="s">
        <v>260</v>
      </c>
      <c r="D10" t="s">
        <v>266</v>
      </c>
      <c r="E10" t="s">
        <v>96</v>
      </c>
      <c r="F10" s="2">
        <v>45895.753408423247</v>
      </c>
      <c r="G10" s="2">
        <v>45938.753408423247</v>
      </c>
      <c r="H10">
        <v>100309.49</v>
      </c>
      <c r="I10" t="s">
        <v>71</v>
      </c>
      <c r="J10" t="s">
        <v>419</v>
      </c>
      <c r="K10">
        <v>43</v>
      </c>
    </row>
    <row r="11" spans="1:11" x14ac:dyDescent="0.35">
      <c r="A11" t="s">
        <v>435</v>
      </c>
      <c r="B11" t="s">
        <v>436</v>
      </c>
      <c r="C11" t="s">
        <v>74</v>
      </c>
      <c r="D11" t="s">
        <v>301</v>
      </c>
      <c r="E11" t="s">
        <v>34</v>
      </c>
      <c r="F11" s="2">
        <v>45951.753408423247</v>
      </c>
      <c r="G11" s="2">
        <v>46004.753408423247</v>
      </c>
      <c r="H11">
        <v>996.27</v>
      </c>
      <c r="I11" t="s">
        <v>27</v>
      </c>
      <c r="J11" t="s">
        <v>414</v>
      </c>
      <c r="K11">
        <v>53</v>
      </c>
    </row>
    <row r="12" spans="1:11" x14ac:dyDescent="0.35">
      <c r="A12" t="s">
        <v>437</v>
      </c>
      <c r="B12" t="s">
        <v>438</v>
      </c>
      <c r="C12" t="s">
        <v>125</v>
      </c>
      <c r="D12" t="s">
        <v>82</v>
      </c>
      <c r="E12" t="s">
        <v>47</v>
      </c>
      <c r="F12" s="2">
        <v>45962.753408423247</v>
      </c>
      <c r="G12" s="2">
        <v>45992.753408423247</v>
      </c>
      <c r="H12">
        <v>20541.009999999998</v>
      </c>
      <c r="I12" t="s">
        <v>42</v>
      </c>
      <c r="J12" t="s">
        <v>439</v>
      </c>
      <c r="K12">
        <v>30</v>
      </c>
    </row>
    <row r="13" spans="1:11" x14ac:dyDescent="0.35">
      <c r="A13" t="s">
        <v>440</v>
      </c>
      <c r="B13" t="s">
        <v>441</v>
      </c>
      <c r="C13" t="s">
        <v>168</v>
      </c>
      <c r="D13" t="s">
        <v>442</v>
      </c>
      <c r="E13" t="s">
        <v>26</v>
      </c>
      <c r="F13" s="2">
        <v>45956.753408423247</v>
      </c>
      <c r="G13" s="2">
        <v>46004.753408423247</v>
      </c>
      <c r="H13">
        <v>3306.76</v>
      </c>
      <c r="I13" t="s">
        <v>58</v>
      </c>
      <c r="J13" t="s">
        <v>439</v>
      </c>
      <c r="K13">
        <v>48</v>
      </c>
    </row>
    <row r="14" spans="1:11" x14ac:dyDescent="0.35">
      <c r="A14" t="s">
        <v>443</v>
      </c>
      <c r="B14" t="s">
        <v>444</v>
      </c>
      <c r="C14" t="s">
        <v>129</v>
      </c>
      <c r="D14" t="s">
        <v>445</v>
      </c>
      <c r="E14" t="s">
        <v>47</v>
      </c>
      <c r="F14" s="2">
        <v>45986.753408423247</v>
      </c>
      <c r="G14" s="2">
        <v>45996.753408423247</v>
      </c>
      <c r="H14">
        <v>15761.57</v>
      </c>
      <c r="I14" t="s">
        <v>65</v>
      </c>
      <c r="J14" t="s">
        <v>430</v>
      </c>
      <c r="K14">
        <v>10</v>
      </c>
    </row>
    <row r="15" spans="1:11" x14ac:dyDescent="0.35">
      <c r="A15" t="s">
        <v>446</v>
      </c>
      <c r="B15" t="s">
        <v>447</v>
      </c>
      <c r="C15" t="s">
        <v>291</v>
      </c>
      <c r="D15" t="s">
        <v>188</v>
      </c>
      <c r="E15" t="s">
        <v>47</v>
      </c>
      <c r="F15" s="2">
        <v>45975.753408423247</v>
      </c>
      <c r="G15" s="2">
        <v>45999.753408423247</v>
      </c>
      <c r="H15">
        <v>96767.81</v>
      </c>
      <c r="I15" t="s">
        <v>65</v>
      </c>
      <c r="J15" t="s">
        <v>424</v>
      </c>
      <c r="K15">
        <v>24</v>
      </c>
    </row>
    <row r="16" spans="1:11" x14ac:dyDescent="0.35">
      <c r="A16" t="s">
        <v>448</v>
      </c>
      <c r="B16" t="s">
        <v>449</v>
      </c>
      <c r="C16" t="s">
        <v>291</v>
      </c>
      <c r="D16" t="s">
        <v>316</v>
      </c>
      <c r="E16" t="s">
        <v>34</v>
      </c>
      <c r="F16" s="2">
        <v>45936.753408423247</v>
      </c>
      <c r="G16" s="2">
        <v>45966.753408423247</v>
      </c>
      <c r="H16">
        <v>13666.6</v>
      </c>
      <c r="I16" t="s">
        <v>71</v>
      </c>
      <c r="J16" t="s">
        <v>430</v>
      </c>
      <c r="K16">
        <v>30</v>
      </c>
    </row>
    <row r="17" spans="1:11" x14ac:dyDescent="0.35">
      <c r="A17" t="s">
        <v>450</v>
      </c>
      <c r="B17" t="s">
        <v>451</v>
      </c>
      <c r="C17" t="s">
        <v>125</v>
      </c>
      <c r="D17" t="s">
        <v>150</v>
      </c>
      <c r="E17" t="s">
        <v>26</v>
      </c>
      <c r="F17" s="2">
        <v>45999.753408423247</v>
      </c>
      <c r="G17" s="2">
        <v>46004.753408423247</v>
      </c>
      <c r="H17">
        <v>771.71</v>
      </c>
      <c r="I17" t="s">
        <v>52</v>
      </c>
      <c r="J17" t="s">
        <v>419</v>
      </c>
      <c r="K17">
        <v>5</v>
      </c>
    </row>
    <row r="18" spans="1:11" x14ac:dyDescent="0.35">
      <c r="A18" t="s">
        <v>452</v>
      </c>
      <c r="B18" t="s">
        <v>453</v>
      </c>
      <c r="C18" t="s">
        <v>74</v>
      </c>
      <c r="D18" t="s">
        <v>454</v>
      </c>
      <c r="E18" t="s">
        <v>47</v>
      </c>
      <c r="F18" s="2">
        <v>45954.753408423247</v>
      </c>
      <c r="G18" s="2">
        <v>45973.753408423247</v>
      </c>
      <c r="H18">
        <v>7729.01</v>
      </c>
      <c r="I18" t="s">
        <v>65</v>
      </c>
      <c r="J18" t="s">
        <v>424</v>
      </c>
      <c r="K18">
        <v>19</v>
      </c>
    </row>
    <row r="19" spans="1:11" x14ac:dyDescent="0.35">
      <c r="A19" t="s">
        <v>455</v>
      </c>
      <c r="B19" t="s">
        <v>456</v>
      </c>
      <c r="C19" t="s">
        <v>291</v>
      </c>
      <c r="D19" t="s">
        <v>457</v>
      </c>
      <c r="E19" t="s">
        <v>26</v>
      </c>
      <c r="F19" s="2">
        <v>46022.753408423247</v>
      </c>
      <c r="G19" s="2">
        <v>46055.753408423247</v>
      </c>
      <c r="H19">
        <v>4293.8999999999996</v>
      </c>
      <c r="I19" t="s">
        <v>71</v>
      </c>
      <c r="J19" t="s">
        <v>414</v>
      </c>
      <c r="K19">
        <v>33</v>
      </c>
    </row>
    <row r="20" spans="1:11" x14ac:dyDescent="0.35">
      <c r="A20" t="s">
        <v>458</v>
      </c>
      <c r="B20" t="s">
        <v>459</v>
      </c>
      <c r="C20" t="s">
        <v>94</v>
      </c>
      <c r="D20" t="s">
        <v>460</v>
      </c>
      <c r="E20" t="s">
        <v>41</v>
      </c>
      <c r="F20" s="2">
        <v>45969.753408423247</v>
      </c>
      <c r="G20" s="2">
        <v>45972.753408423247</v>
      </c>
      <c r="H20">
        <v>6287.94</v>
      </c>
      <c r="I20" t="s">
        <v>71</v>
      </c>
      <c r="J20" t="s">
        <v>419</v>
      </c>
      <c r="K20">
        <v>3</v>
      </c>
    </row>
    <row r="21" spans="1:11" x14ac:dyDescent="0.35">
      <c r="A21" t="s">
        <v>461</v>
      </c>
      <c r="B21" t="s">
        <v>462</v>
      </c>
      <c r="C21" t="s">
        <v>99</v>
      </c>
      <c r="D21" t="s">
        <v>463</v>
      </c>
      <c r="E21" t="s">
        <v>145</v>
      </c>
      <c r="F21" s="2">
        <v>45907.753408423247</v>
      </c>
      <c r="G21" s="2">
        <v>45923.753408423247</v>
      </c>
      <c r="H21">
        <v>8949.26</v>
      </c>
      <c r="I21" t="s">
        <v>65</v>
      </c>
      <c r="J21" t="s">
        <v>419</v>
      </c>
      <c r="K21">
        <v>16</v>
      </c>
    </row>
    <row r="22" spans="1:11" x14ac:dyDescent="0.35">
      <c r="A22" t="s">
        <v>464</v>
      </c>
      <c r="B22" t="s">
        <v>465</v>
      </c>
      <c r="C22" t="s">
        <v>143</v>
      </c>
      <c r="D22" t="s">
        <v>352</v>
      </c>
      <c r="E22" t="s">
        <v>96</v>
      </c>
      <c r="F22" s="2">
        <v>45986.753408423247</v>
      </c>
      <c r="G22" s="2">
        <v>46004.753408423247</v>
      </c>
      <c r="H22">
        <v>6342.16</v>
      </c>
      <c r="I22" t="s">
        <v>65</v>
      </c>
      <c r="J22" t="s">
        <v>439</v>
      </c>
      <c r="K22">
        <v>18</v>
      </c>
    </row>
    <row r="23" spans="1:11" x14ac:dyDescent="0.35">
      <c r="A23" t="s">
        <v>466</v>
      </c>
      <c r="B23" t="s">
        <v>467</v>
      </c>
      <c r="C23" t="s">
        <v>200</v>
      </c>
      <c r="D23" t="s">
        <v>349</v>
      </c>
      <c r="E23" t="s">
        <v>34</v>
      </c>
      <c r="F23" s="2">
        <v>46033.753408423247</v>
      </c>
      <c r="G23" s="2">
        <v>46045.753408423247</v>
      </c>
      <c r="H23">
        <v>7880.47</v>
      </c>
      <c r="I23" t="s">
        <v>27</v>
      </c>
      <c r="J23" t="s">
        <v>439</v>
      </c>
      <c r="K23">
        <v>12</v>
      </c>
    </row>
    <row r="24" spans="1:11" x14ac:dyDescent="0.35">
      <c r="A24" t="s">
        <v>468</v>
      </c>
      <c r="B24" t="s">
        <v>469</v>
      </c>
      <c r="C24" t="s">
        <v>257</v>
      </c>
      <c r="D24" t="s">
        <v>247</v>
      </c>
      <c r="E24" t="s">
        <v>47</v>
      </c>
      <c r="F24" s="2">
        <v>45953.753408423247</v>
      </c>
      <c r="G24" s="2">
        <v>45958.753408423247</v>
      </c>
      <c r="H24">
        <v>29589.48</v>
      </c>
      <c r="I24" t="s">
        <v>65</v>
      </c>
      <c r="J24" t="s">
        <v>439</v>
      </c>
      <c r="K24">
        <v>5</v>
      </c>
    </row>
    <row r="25" spans="1:11" x14ac:dyDescent="0.35">
      <c r="A25" t="s">
        <v>470</v>
      </c>
      <c r="B25" t="s">
        <v>243</v>
      </c>
      <c r="C25" t="s">
        <v>107</v>
      </c>
      <c r="D25" t="s">
        <v>471</v>
      </c>
      <c r="E25" t="s">
        <v>64</v>
      </c>
      <c r="F25" s="2">
        <v>45947.753408423247</v>
      </c>
      <c r="G25" s="2">
        <v>45969.753408423247</v>
      </c>
      <c r="H25">
        <v>9650.32</v>
      </c>
      <c r="I25" t="s">
        <v>27</v>
      </c>
      <c r="J25" t="s">
        <v>439</v>
      </c>
      <c r="K25">
        <v>22</v>
      </c>
    </row>
    <row r="26" spans="1:11" x14ac:dyDescent="0.35">
      <c r="A26" t="s">
        <v>472</v>
      </c>
      <c r="B26" t="s">
        <v>473</v>
      </c>
      <c r="C26" t="s">
        <v>260</v>
      </c>
      <c r="D26" t="s">
        <v>367</v>
      </c>
      <c r="E26" t="s">
        <v>96</v>
      </c>
      <c r="F26" s="2">
        <v>45953.753408423247</v>
      </c>
      <c r="G26" s="2">
        <v>45980.753408423247</v>
      </c>
      <c r="H26">
        <v>7114.49</v>
      </c>
      <c r="I26" t="s">
        <v>52</v>
      </c>
      <c r="J26" t="s">
        <v>424</v>
      </c>
      <c r="K26">
        <v>27</v>
      </c>
    </row>
    <row r="27" spans="1:11" x14ac:dyDescent="0.35">
      <c r="A27" t="s">
        <v>474</v>
      </c>
      <c r="B27" t="s">
        <v>475</v>
      </c>
      <c r="C27" t="s">
        <v>129</v>
      </c>
      <c r="D27" t="s">
        <v>471</v>
      </c>
      <c r="E27" t="s">
        <v>34</v>
      </c>
      <c r="F27" s="2">
        <v>45957.753408423247</v>
      </c>
      <c r="G27" s="2">
        <v>45993.753408423247</v>
      </c>
      <c r="H27">
        <v>19529.36</v>
      </c>
      <c r="I27" t="s">
        <v>27</v>
      </c>
      <c r="J27" t="s">
        <v>419</v>
      </c>
      <c r="K27">
        <v>36</v>
      </c>
    </row>
    <row r="28" spans="1:11" x14ac:dyDescent="0.35">
      <c r="A28" t="s">
        <v>476</v>
      </c>
      <c r="B28" t="s">
        <v>477</v>
      </c>
      <c r="C28" t="s">
        <v>118</v>
      </c>
      <c r="D28" t="s">
        <v>40</v>
      </c>
      <c r="E28" t="s">
        <v>34</v>
      </c>
      <c r="F28" s="2">
        <v>45931.753408423247</v>
      </c>
      <c r="G28" s="2">
        <v>45948.753408423247</v>
      </c>
      <c r="H28">
        <v>11157.82</v>
      </c>
      <c r="I28" t="s">
        <v>27</v>
      </c>
      <c r="J28" t="s">
        <v>419</v>
      </c>
      <c r="K28">
        <v>17</v>
      </c>
    </row>
    <row r="29" spans="1:11" x14ac:dyDescent="0.35">
      <c r="A29" t="s">
        <v>478</v>
      </c>
      <c r="B29" t="s">
        <v>479</v>
      </c>
      <c r="C29" t="s">
        <v>114</v>
      </c>
      <c r="D29" t="s">
        <v>79</v>
      </c>
      <c r="E29" t="s">
        <v>34</v>
      </c>
      <c r="F29" s="2">
        <v>45995.753408423247</v>
      </c>
      <c r="G29" s="2">
        <v>46013.753408423247</v>
      </c>
      <c r="H29">
        <v>10669.94</v>
      </c>
      <c r="I29" t="s">
        <v>65</v>
      </c>
      <c r="J29" t="s">
        <v>414</v>
      </c>
      <c r="K29">
        <v>18</v>
      </c>
    </row>
    <row r="30" spans="1:11" x14ac:dyDescent="0.35">
      <c r="A30" t="s">
        <v>480</v>
      </c>
      <c r="B30" t="s">
        <v>481</v>
      </c>
      <c r="C30" t="s">
        <v>99</v>
      </c>
      <c r="D30" t="s">
        <v>177</v>
      </c>
      <c r="E30" t="s">
        <v>41</v>
      </c>
      <c r="F30" s="2">
        <v>45868.753408423247</v>
      </c>
      <c r="G30" s="2">
        <v>45906.753408423247</v>
      </c>
      <c r="H30">
        <v>22757.93</v>
      </c>
      <c r="I30" t="s">
        <v>27</v>
      </c>
      <c r="J30" t="s">
        <v>424</v>
      </c>
      <c r="K30">
        <v>38</v>
      </c>
    </row>
    <row r="31" spans="1:11" x14ac:dyDescent="0.35">
      <c r="A31" t="s">
        <v>482</v>
      </c>
      <c r="B31" t="s">
        <v>483</v>
      </c>
      <c r="C31" t="s">
        <v>103</v>
      </c>
      <c r="D31" t="s">
        <v>359</v>
      </c>
      <c r="E31" t="s">
        <v>34</v>
      </c>
      <c r="F31" s="2">
        <v>46030.753408423247</v>
      </c>
      <c r="G31" s="2">
        <v>46039.753408423247</v>
      </c>
      <c r="H31">
        <v>13003.68</v>
      </c>
      <c r="I31" t="s">
        <v>65</v>
      </c>
      <c r="J31" t="s">
        <v>419</v>
      </c>
      <c r="K31">
        <v>9</v>
      </c>
    </row>
    <row r="32" spans="1:11" x14ac:dyDescent="0.35">
      <c r="A32" t="s">
        <v>484</v>
      </c>
      <c r="B32" t="s">
        <v>485</v>
      </c>
      <c r="C32" t="s">
        <v>94</v>
      </c>
      <c r="D32" t="s">
        <v>40</v>
      </c>
      <c r="E32" t="s">
        <v>26</v>
      </c>
      <c r="F32" s="2">
        <v>45876.753408423247</v>
      </c>
      <c r="G32" s="2">
        <v>45878.753408423247</v>
      </c>
      <c r="H32">
        <v>13397.79</v>
      </c>
      <c r="I32" t="s">
        <v>52</v>
      </c>
      <c r="J32" t="s">
        <v>439</v>
      </c>
      <c r="K32">
        <v>2</v>
      </c>
    </row>
    <row r="33" spans="1:11" x14ac:dyDescent="0.35">
      <c r="A33" t="s">
        <v>486</v>
      </c>
      <c r="B33" t="s">
        <v>487</v>
      </c>
      <c r="C33" t="s">
        <v>176</v>
      </c>
      <c r="D33" t="s">
        <v>111</v>
      </c>
      <c r="E33" t="s">
        <v>26</v>
      </c>
      <c r="F33" s="2">
        <v>45957.753408423247</v>
      </c>
      <c r="G33" s="2">
        <v>46011.753408423247</v>
      </c>
      <c r="H33">
        <v>1913.87</v>
      </c>
      <c r="I33" t="s">
        <v>58</v>
      </c>
      <c r="J33" t="s">
        <v>414</v>
      </c>
      <c r="K33">
        <v>54</v>
      </c>
    </row>
    <row r="34" spans="1:11" x14ac:dyDescent="0.35">
      <c r="A34" t="s">
        <v>488</v>
      </c>
      <c r="B34" t="s">
        <v>489</v>
      </c>
      <c r="C34" t="s">
        <v>136</v>
      </c>
      <c r="D34" t="s">
        <v>359</v>
      </c>
      <c r="E34" t="s">
        <v>64</v>
      </c>
      <c r="F34" s="2">
        <v>45899.753408423247</v>
      </c>
      <c r="G34" s="2">
        <v>45972.753408423247</v>
      </c>
      <c r="H34">
        <v>1972.2</v>
      </c>
      <c r="I34" t="s">
        <v>65</v>
      </c>
      <c r="J34" t="s">
        <v>424</v>
      </c>
      <c r="K34">
        <v>73</v>
      </c>
    </row>
    <row r="35" spans="1:11" x14ac:dyDescent="0.35">
      <c r="A35" t="s">
        <v>490</v>
      </c>
      <c r="B35" t="s">
        <v>491</v>
      </c>
      <c r="C35" t="s">
        <v>125</v>
      </c>
      <c r="D35" t="s">
        <v>150</v>
      </c>
      <c r="E35" t="s">
        <v>96</v>
      </c>
      <c r="F35" s="2">
        <v>45961.753408423247</v>
      </c>
      <c r="G35" s="2">
        <v>45973.753408423247</v>
      </c>
      <c r="H35">
        <v>32819.879999999997</v>
      </c>
      <c r="I35" t="s">
        <v>71</v>
      </c>
      <c r="J35" t="s">
        <v>419</v>
      </c>
      <c r="K35">
        <v>12</v>
      </c>
    </row>
    <row r="36" spans="1:11" x14ac:dyDescent="0.35">
      <c r="A36" t="s">
        <v>492</v>
      </c>
      <c r="B36" t="s">
        <v>493</v>
      </c>
      <c r="C36" t="s">
        <v>45</v>
      </c>
      <c r="D36" t="s">
        <v>380</v>
      </c>
      <c r="E36" t="s">
        <v>47</v>
      </c>
      <c r="F36" s="2">
        <v>45920.753408423247</v>
      </c>
      <c r="G36" s="2">
        <v>45979.753408423247</v>
      </c>
      <c r="H36">
        <v>35707.800000000003</v>
      </c>
      <c r="I36" t="s">
        <v>58</v>
      </c>
      <c r="J36" t="s">
        <v>430</v>
      </c>
      <c r="K36">
        <v>59</v>
      </c>
    </row>
    <row r="37" spans="1:11" x14ac:dyDescent="0.35">
      <c r="A37" t="s">
        <v>494</v>
      </c>
      <c r="B37" t="s">
        <v>495</v>
      </c>
      <c r="C37" t="s">
        <v>114</v>
      </c>
      <c r="D37" t="s">
        <v>372</v>
      </c>
      <c r="E37" t="s">
        <v>34</v>
      </c>
      <c r="F37" s="2">
        <v>46008.753408423247</v>
      </c>
      <c r="G37" s="2">
        <v>46065.753408423247</v>
      </c>
      <c r="H37">
        <v>16642.16</v>
      </c>
      <c r="I37" t="s">
        <v>52</v>
      </c>
      <c r="J37" t="s">
        <v>419</v>
      </c>
      <c r="K37">
        <v>57</v>
      </c>
    </row>
    <row r="38" spans="1:11" x14ac:dyDescent="0.35">
      <c r="A38" t="s">
        <v>496</v>
      </c>
      <c r="B38" t="s">
        <v>497</v>
      </c>
      <c r="C38" t="s">
        <v>85</v>
      </c>
      <c r="D38" t="s">
        <v>498</v>
      </c>
      <c r="E38" t="s">
        <v>145</v>
      </c>
      <c r="F38" s="2">
        <v>45899.753408423247</v>
      </c>
      <c r="G38" s="2">
        <v>45986.753408423247</v>
      </c>
      <c r="H38">
        <v>1955.62</v>
      </c>
      <c r="I38" t="s">
        <v>52</v>
      </c>
      <c r="J38" t="s">
        <v>424</v>
      </c>
      <c r="K38">
        <v>87</v>
      </c>
    </row>
    <row r="39" spans="1:11" x14ac:dyDescent="0.35">
      <c r="A39" t="s">
        <v>499</v>
      </c>
      <c r="B39" t="s">
        <v>500</v>
      </c>
      <c r="C39" t="s">
        <v>308</v>
      </c>
      <c r="D39" t="s">
        <v>235</v>
      </c>
      <c r="E39" t="s">
        <v>145</v>
      </c>
      <c r="F39" s="2">
        <v>46029.753408423247</v>
      </c>
      <c r="G39" s="2">
        <v>46118.753408423247</v>
      </c>
      <c r="H39">
        <v>22523.23</v>
      </c>
      <c r="I39" t="s">
        <v>65</v>
      </c>
      <c r="J39" t="s">
        <v>419</v>
      </c>
      <c r="K39">
        <v>89</v>
      </c>
    </row>
    <row r="40" spans="1:11" x14ac:dyDescent="0.35">
      <c r="A40" t="s">
        <v>501</v>
      </c>
      <c r="B40" t="s">
        <v>502</v>
      </c>
      <c r="C40" t="s">
        <v>260</v>
      </c>
      <c r="D40" t="s">
        <v>471</v>
      </c>
      <c r="E40" t="s">
        <v>64</v>
      </c>
      <c r="F40" s="2">
        <v>45935.753408423247</v>
      </c>
      <c r="G40" s="2">
        <v>45987.753408423247</v>
      </c>
      <c r="H40">
        <v>9272.84</v>
      </c>
      <c r="I40" t="s">
        <v>71</v>
      </c>
      <c r="J40" t="s">
        <v>424</v>
      </c>
      <c r="K40">
        <v>52</v>
      </c>
    </row>
    <row r="41" spans="1:11" x14ac:dyDescent="0.35">
      <c r="A41" t="s">
        <v>503</v>
      </c>
      <c r="B41" t="s">
        <v>504</v>
      </c>
      <c r="C41" t="s">
        <v>89</v>
      </c>
      <c r="D41" t="s">
        <v>505</v>
      </c>
      <c r="E41" t="s">
        <v>64</v>
      </c>
      <c r="F41" s="2">
        <v>46005.753408423247</v>
      </c>
      <c r="G41" s="2">
        <v>46052.753408423247</v>
      </c>
      <c r="H41">
        <v>32208.05</v>
      </c>
      <c r="I41" t="s">
        <v>27</v>
      </c>
      <c r="J41" t="s">
        <v>414</v>
      </c>
      <c r="K41">
        <v>47</v>
      </c>
    </row>
    <row r="42" spans="1:11" x14ac:dyDescent="0.35">
      <c r="A42" t="s">
        <v>506</v>
      </c>
      <c r="B42" t="s">
        <v>507</v>
      </c>
      <c r="C42" t="s">
        <v>32</v>
      </c>
      <c r="D42" t="s">
        <v>133</v>
      </c>
      <c r="E42" t="s">
        <v>41</v>
      </c>
      <c r="F42" s="2">
        <v>45851.753408423247</v>
      </c>
      <c r="G42" s="2">
        <v>45922.753408423247</v>
      </c>
      <c r="H42">
        <v>3269.44</v>
      </c>
      <c r="I42" t="s">
        <v>65</v>
      </c>
      <c r="J42" t="s">
        <v>419</v>
      </c>
      <c r="K42">
        <v>71</v>
      </c>
    </row>
    <row r="43" spans="1:11" x14ac:dyDescent="0.35">
      <c r="A43" t="s">
        <v>508</v>
      </c>
      <c r="B43" t="s">
        <v>509</v>
      </c>
      <c r="C43" t="s">
        <v>143</v>
      </c>
      <c r="D43" t="s">
        <v>86</v>
      </c>
      <c r="E43" t="s">
        <v>145</v>
      </c>
      <c r="F43" s="2">
        <v>45967.753408423247</v>
      </c>
      <c r="G43" s="2">
        <v>45976.753408423247</v>
      </c>
      <c r="H43">
        <v>8208.42</v>
      </c>
      <c r="I43" t="s">
        <v>27</v>
      </c>
      <c r="J43" t="s">
        <v>414</v>
      </c>
      <c r="K43">
        <v>9</v>
      </c>
    </row>
    <row r="44" spans="1:11" x14ac:dyDescent="0.35">
      <c r="A44" t="s">
        <v>510</v>
      </c>
      <c r="B44" t="s">
        <v>511</v>
      </c>
      <c r="C44" t="s">
        <v>69</v>
      </c>
      <c r="D44" t="s">
        <v>95</v>
      </c>
      <c r="E44" t="s">
        <v>47</v>
      </c>
      <c r="F44" s="2">
        <v>45963.753408423247</v>
      </c>
      <c r="G44" s="2">
        <v>46049.753408423247</v>
      </c>
      <c r="H44">
        <v>44701.67</v>
      </c>
      <c r="I44" t="s">
        <v>27</v>
      </c>
      <c r="J44" t="s">
        <v>414</v>
      </c>
      <c r="K44">
        <v>86</v>
      </c>
    </row>
    <row r="45" spans="1:11" x14ac:dyDescent="0.35">
      <c r="A45" t="s">
        <v>512</v>
      </c>
      <c r="B45" t="s">
        <v>513</v>
      </c>
      <c r="C45" t="s">
        <v>74</v>
      </c>
      <c r="D45" t="s">
        <v>445</v>
      </c>
      <c r="E45" t="s">
        <v>64</v>
      </c>
      <c r="F45" s="2">
        <v>46048.753408423247</v>
      </c>
      <c r="G45" s="2">
        <v>46054.753408423247</v>
      </c>
      <c r="H45">
        <v>13641.14</v>
      </c>
      <c r="I45" t="s">
        <v>71</v>
      </c>
      <c r="J45" t="s">
        <v>419</v>
      </c>
      <c r="K45">
        <v>6</v>
      </c>
    </row>
    <row r="46" spans="1:11" x14ac:dyDescent="0.35">
      <c r="A46" t="s">
        <v>514</v>
      </c>
      <c r="B46" t="s">
        <v>515</v>
      </c>
      <c r="C46" t="s">
        <v>200</v>
      </c>
      <c r="D46" t="s">
        <v>263</v>
      </c>
      <c r="E46" t="s">
        <v>26</v>
      </c>
      <c r="F46" s="2">
        <v>45946.753408423247</v>
      </c>
      <c r="G46" s="2">
        <v>45971.753408423247</v>
      </c>
      <c r="H46">
        <v>4086.86</v>
      </c>
      <c r="I46" t="s">
        <v>65</v>
      </c>
      <c r="J46" t="s">
        <v>424</v>
      </c>
      <c r="K46">
        <v>25</v>
      </c>
    </row>
    <row r="47" spans="1:11" x14ac:dyDescent="0.35">
      <c r="A47" t="s">
        <v>516</v>
      </c>
      <c r="B47" t="s">
        <v>517</v>
      </c>
      <c r="C47" t="s">
        <v>143</v>
      </c>
      <c r="D47" t="s">
        <v>272</v>
      </c>
      <c r="E47" t="s">
        <v>96</v>
      </c>
      <c r="F47" s="2">
        <v>45899.753408423247</v>
      </c>
      <c r="G47" s="2">
        <v>45927.753408423247</v>
      </c>
      <c r="H47">
        <v>8415.08</v>
      </c>
      <c r="I47" t="s">
        <v>65</v>
      </c>
      <c r="J47" t="s">
        <v>439</v>
      </c>
      <c r="K47">
        <v>28</v>
      </c>
    </row>
    <row r="48" spans="1:11" x14ac:dyDescent="0.35">
      <c r="A48" t="s">
        <v>518</v>
      </c>
      <c r="B48" t="s">
        <v>519</v>
      </c>
      <c r="C48" t="s">
        <v>125</v>
      </c>
      <c r="D48" t="s">
        <v>463</v>
      </c>
      <c r="E48" t="s">
        <v>64</v>
      </c>
      <c r="F48" s="2">
        <v>45963.753408423247</v>
      </c>
      <c r="G48" s="2">
        <v>45983.753408423247</v>
      </c>
      <c r="H48">
        <v>4326.99</v>
      </c>
      <c r="I48" t="s">
        <v>52</v>
      </c>
      <c r="J48" t="s">
        <v>419</v>
      </c>
      <c r="K48">
        <v>20</v>
      </c>
    </row>
    <row r="49" spans="1:11" x14ac:dyDescent="0.35">
      <c r="A49" t="s">
        <v>520</v>
      </c>
      <c r="B49" t="s">
        <v>521</v>
      </c>
      <c r="C49" t="s">
        <v>308</v>
      </c>
      <c r="D49" t="s">
        <v>427</v>
      </c>
      <c r="E49" t="s">
        <v>34</v>
      </c>
      <c r="F49" s="2">
        <v>45874.753408423247</v>
      </c>
      <c r="G49" s="2">
        <v>45888.753408423247</v>
      </c>
      <c r="H49">
        <v>51857</v>
      </c>
      <c r="I49" t="s">
        <v>71</v>
      </c>
      <c r="J49" t="s">
        <v>430</v>
      </c>
      <c r="K49">
        <v>14</v>
      </c>
    </row>
    <row r="50" spans="1:11" x14ac:dyDescent="0.35">
      <c r="A50" t="s">
        <v>522</v>
      </c>
      <c r="B50" t="s">
        <v>523</v>
      </c>
      <c r="C50" t="s">
        <v>257</v>
      </c>
      <c r="D50" t="s">
        <v>334</v>
      </c>
      <c r="E50" t="s">
        <v>26</v>
      </c>
      <c r="F50" s="2">
        <v>45911.753408423247</v>
      </c>
      <c r="G50" s="2">
        <v>45981.753408423247</v>
      </c>
      <c r="H50">
        <v>24562.63</v>
      </c>
      <c r="I50" t="s">
        <v>65</v>
      </c>
      <c r="J50" t="s">
        <v>419</v>
      </c>
      <c r="K50">
        <v>70</v>
      </c>
    </row>
    <row r="51" spans="1:11" x14ac:dyDescent="0.35">
      <c r="A51" t="s">
        <v>524</v>
      </c>
      <c r="B51" t="s">
        <v>525</v>
      </c>
      <c r="C51" t="s">
        <v>260</v>
      </c>
      <c r="D51" t="s">
        <v>100</v>
      </c>
      <c r="E51" t="s">
        <v>47</v>
      </c>
      <c r="F51" s="2">
        <v>46028.753408423247</v>
      </c>
      <c r="G51" s="2">
        <v>46107.753408423247</v>
      </c>
      <c r="H51">
        <v>28679.93</v>
      </c>
      <c r="I51" t="s">
        <v>52</v>
      </c>
      <c r="J51" t="s">
        <v>419</v>
      </c>
      <c r="K51">
        <v>79</v>
      </c>
    </row>
    <row r="52" spans="1:11" x14ac:dyDescent="0.35">
      <c r="A52" t="s">
        <v>526</v>
      </c>
      <c r="B52" t="s">
        <v>527</v>
      </c>
      <c r="C52" t="s">
        <v>39</v>
      </c>
      <c r="D52" t="s">
        <v>263</v>
      </c>
      <c r="E52" t="s">
        <v>41</v>
      </c>
      <c r="F52" s="2">
        <v>45893.753408423247</v>
      </c>
      <c r="G52" s="2">
        <v>45916.753408423247</v>
      </c>
      <c r="H52">
        <v>10261.540000000001</v>
      </c>
      <c r="I52" t="s">
        <v>27</v>
      </c>
      <c r="J52" t="s">
        <v>419</v>
      </c>
      <c r="K52">
        <v>23</v>
      </c>
    </row>
    <row r="53" spans="1:11" x14ac:dyDescent="0.35">
      <c r="A53" t="s">
        <v>528</v>
      </c>
      <c r="B53" t="s">
        <v>529</v>
      </c>
      <c r="C53" t="s">
        <v>94</v>
      </c>
      <c r="D53" t="s">
        <v>70</v>
      </c>
      <c r="E53" t="s">
        <v>64</v>
      </c>
      <c r="F53" s="2">
        <v>45994.753408423247</v>
      </c>
      <c r="G53" s="2">
        <v>46058.753408423247</v>
      </c>
      <c r="H53">
        <v>22720.41</v>
      </c>
      <c r="I53" t="s">
        <v>27</v>
      </c>
      <c r="J53" t="s">
        <v>439</v>
      </c>
      <c r="K53">
        <v>64</v>
      </c>
    </row>
    <row r="54" spans="1:11" x14ac:dyDescent="0.35">
      <c r="A54" t="s">
        <v>530</v>
      </c>
      <c r="B54" t="s">
        <v>531</v>
      </c>
      <c r="C54" t="s">
        <v>136</v>
      </c>
      <c r="D54" t="s">
        <v>413</v>
      </c>
      <c r="E54" t="s">
        <v>26</v>
      </c>
      <c r="F54" s="2">
        <v>45992.753408423247</v>
      </c>
      <c r="G54" s="2">
        <v>46070.753408423247</v>
      </c>
      <c r="H54">
        <v>14246.66</v>
      </c>
      <c r="I54" t="s">
        <v>27</v>
      </c>
      <c r="J54" t="s">
        <v>419</v>
      </c>
      <c r="K54">
        <v>78</v>
      </c>
    </row>
    <row r="55" spans="1:11" x14ac:dyDescent="0.35">
      <c r="A55" t="s">
        <v>532</v>
      </c>
      <c r="B55" t="s">
        <v>533</v>
      </c>
      <c r="C55" t="s">
        <v>125</v>
      </c>
      <c r="D55" t="s">
        <v>194</v>
      </c>
      <c r="E55" t="s">
        <v>96</v>
      </c>
      <c r="F55" s="2">
        <v>45851.753408423247</v>
      </c>
      <c r="G55" s="2">
        <v>45888.753408423247</v>
      </c>
      <c r="H55">
        <v>60732.05</v>
      </c>
      <c r="I55" t="s">
        <v>52</v>
      </c>
      <c r="J55" t="s">
        <v>414</v>
      </c>
      <c r="K55">
        <v>37</v>
      </c>
    </row>
    <row r="56" spans="1:11" x14ac:dyDescent="0.35">
      <c r="A56" t="s">
        <v>534</v>
      </c>
      <c r="B56" t="s">
        <v>535</v>
      </c>
      <c r="C56" t="s">
        <v>168</v>
      </c>
      <c r="D56" t="s">
        <v>197</v>
      </c>
      <c r="E56" t="s">
        <v>145</v>
      </c>
      <c r="F56" s="2">
        <v>45994.753408423247</v>
      </c>
      <c r="G56" s="2">
        <v>46019.753408423247</v>
      </c>
      <c r="H56">
        <v>9432.74</v>
      </c>
      <c r="I56" t="s">
        <v>65</v>
      </c>
      <c r="J56" t="s">
        <v>430</v>
      </c>
      <c r="K56">
        <v>25</v>
      </c>
    </row>
    <row r="57" spans="1:11" x14ac:dyDescent="0.35">
      <c r="A57" t="s">
        <v>536</v>
      </c>
      <c r="B57" t="s">
        <v>537</v>
      </c>
      <c r="C57" t="s">
        <v>118</v>
      </c>
      <c r="D57" t="s">
        <v>538</v>
      </c>
      <c r="E57" t="s">
        <v>26</v>
      </c>
      <c r="F57" s="2">
        <v>45983.753408423247</v>
      </c>
      <c r="G57" s="2">
        <v>46043.753408423247</v>
      </c>
      <c r="H57">
        <v>8330.91</v>
      </c>
      <c r="I57" t="s">
        <v>71</v>
      </c>
      <c r="J57" t="s">
        <v>439</v>
      </c>
      <c r="K57">
        <v>60</v>
      </c>
    </row>
    <row r="58" spans="1:11" x14ac:dyDescent="0.35">
      <c r="A58" t="s">
        <v>539</v>
      </c>
      <c r="B58" t="s">
        <v>540</v>
      </c>
      <c r="C58" t="s">
        <v>260</v>
      </c>
      <c r="D58" t="s">
        <v>541</v>
      </c>
      <c r="E58" t="s">
        <v>41</v>
      </c>
      <c r="F58" s="2">
        <v>45938.753408423247</v>
      </c>
      <c r="G58" s="2">
        <v>46014.753408423247</v>
      </c>
      <c r="H58">
        <v>51478.28</v>
      </c>
      <c r="I58" t="s">
        <v>58</v>
      </c>
      <c r="J58" t="s">
        <v>424</v>
      </c>
      <c r="K58">
        <v>76</v>
      </c>
    </row>
    <row r="59" spans="1:11" x14ac:dyDescent="0.35">
      <c r="A59" t="s">
        <v>542</v>
      </c>
      <c r="B59" t="s">
        <v>543</v>
      </c>
      <c r="C59" t="s">
        <v>45</v>
      </c>
      <c r="D59" t="s">
        <v>301</v>
      </c>
      <c r="E59" t="s">
        <v>47</v>
      </c>
      <c r="F59" s="2">
        <v>46017.753408423247</v>
      </c>
      <c r="G59" s="2">
        <v>46084.753408423247</v>
      </c>
      <c r="H59">
        <v>7168.71</v>
      </c>
      <c r="I59" t="s">
        <v>27</v>
      </c>
      <c r="J59" t="s">
        <v>414</v>
      </c>
      <c r="K59">
        <v>67</v>
      </c>
    </row>
    <row r="60" spans="1:11" x14ac:dyDescent="0.35">
      <c r="A60" t="s">
        <v>544</v>
      </c>
      <c r="B60" t="s">
        <v>545</v>
      </c>
      <c r="C60" t="s">
        <v>238</v>
      </c>
      <c r="D60" t="s">
        <v>546</v>
      </c>
      <c r="E60" t="s">
        <v>41</v>
      </c>
      <c r="F60" s="2">
        <v>45988.753408423247</v>
      </c>
      <c r="G60" s="2">
        <v>46054.753408423247</v>
      </c>
      <c r="H60">
        <v>15115.63</v>
      </c>
      <c r="I60" t="s">
        <v>27</v>
      </c>
      <c r="J60" t="s">
        <v>439</v>
      </c>
      <c r="K60">
        <v>66</v>
      </c>
    </row>
    <row r="61" spans="1:11" x14ac:dyDescent="0.35">
      <c r="A61" t="s">
        <v>547</v>
      </c>
      <c r="B61" t="s">
        <v>548</v>
      </c>
      <c r="C61" t="s">
        <v>308</v>
      </c>
      <c r="D61" t="s">
        <v>130</v>
      </c>
      <c r="E61" t="s">
        <v>47</v>
      </c>
      <c r="F61" s="2">
        <v>45861.753408423247</v>
      </c>
      <c r="G61" s="2">
        <v>45884.753408423247</v>
      </c>
      <c r="H61">
        <v>12219.14</v>
      </c>
      <c r="I61" t="s">
        <v>27</v>
      </c>
      <c r="J61" t="s">
        <v>439</v>
      </c>
      <c r="K61">
        <v>23</v>
      </c>
    </row>
    <row r="62" spans="1:11" x14ac:dyDescent="0.35">
      <c r="A62" t="s">
        <v>549</v>
      </c>
      <c r="B62" t="s">
        <v>550</v>
      </c>
      <c r="C62" t="s">
        <v>78</v>
      </c>
      <c r="D62" t="s">
        <v>57</v>
      </c>
      <c r="E62" t="s">
        <v>34</v>
      </c>
      <c r="F62" s="2">
        <v>45907.753408423247</v>
      </c>
      <c r="G62" s="2">
        <v>45916.753408423247</v>
      </c>
      <c r="H62">
        <v>16101.89</v>
      </c>
      <c r="I62" t="s">
        <v>27</v>
      </c>
      <c r="J62" t="s">
        <v>439</v>
      </c>
      <c r="K62">
        <v>9</v>
      </c>
    </row>
    <row r="63" spans="1:11" x14ac:dyDescent="0.35">
      <c r="A63" t="s">
        <v>551</v>
      </c>
      <c r="B63" t="s">
        <v>552</v>
      </c>
      <c r="C63" t="s">
        <v>62</v>
      </c>
      <c r="D63" t="s">
        <v>40</v>
      </c>
      <c r="E63" t="s">
        <v>145</v>
      </c>
      <c r="F63" s="2">
        <v>45912.753408423247</v>
      </c>
      <c r="G63" s="2">
        <v>45920.753408423247</v>
      </c>
      <c r="H63">
        <v>893.41</v>
      </c>
      <c r="I63" t="s">
        <v>71</v>
      </c>
      <c r="J63" t="s">
        <v>439</v>
      </c>
      <c r="K63">
        <v>8</v>
      </c>
    </row>
    <row r="64" spans="1:11" x14ac:dyDescent="0.35">
      <c r="A64" t="s">
        <v>553</v>
      </c>
      <c r="B64" t="s">
        <v>554</v>
      </c>
      <c r="C64" t="s">
        <v>50</v>
      </c>
      <c r="D64" t="s">
        <v>279</v>
      </c>
      <c r="E64" t="s">
        <v>145</v>
      </c>
      <c r="F64" s="2">
        <v>45997.753408423247</v>
      </c>
      <c r="G64" s="2">
        <v>46059.753408423247</v>
      </c>
      <c r="H64">
        <v>5188.49</v>
      </c>
      <c r="I64" t="s">
        <v>71</v>
      </c>
      <c r="J64" t="s">
        <v>424</v>
      </c>
      <c r="K64">
        <v>62</v>
      </c>
    </row>
    <row r="65" spans="1:11" x14ac:dyDescent="0.35">
      <c r="A65" t="s">
        <v>555</v>
      </c>
      <c r="B65" t="s">
        <v>556</v>
      </c>
      <c r="C65" t="s">
        <v>32</v>
      </c>
      <c r="D65" t="s">
        <v>244</v>
      </c>
      <c r="E65" t="s">
        <v>26</v>
      </c>
      <c r="F65" s="2">
        <v>45991.753408423247</v>
      </c>
      <c r="G65" s="2">
        <v>46010.753408423247</v>
      </c>
      <c r="H65">
        <v>13650.72</v>
      </c>
      <c r="I65" t="s">
        <v>71</v>
      </c>
      <c r="J65" t="s">
        <v>439</v>
      </c>
      <c r="K65">
        <v>19</v>
      </c>
    </row>
    <row r="66" spans="1:11" x14ac:dyDescent="0.35">
      <c r="A66" t="s">
        <v>557</v>
      </c>
      <c r="B66" t="s">
        <v>558</v>
      </c>
      <c r="C66" t="s">
        <v>200</v>
      </c>
      <c r="D66" t="s">
        <v>454</v>
      </c>
      <c r="E66" t="s">
        <v>145</v>
      </c>
      <c r="F66" s="2">
        <v>45968.753408423247</v>
      </c>
      <c r="G66" s="2">
        <v>46057.753408423247</v>
      </c>
      <c r="H66">
        <v>12616.91</v>
      </c>
      <c r="I66" t="s">
        <v>27</v>
      </c>
      <c r="J66" t="s">
        <v>419</v>
      </c>
      <c r="K66">
        <v>89</v>
      </c>
    </row>
    <row r="67" spans="1:11" x14ac:dyDescent="0.35">
      <c r="A67" t="s">
        <v>559</v>
      </c>
      <c r="B67" t="s">
        <v>560</v>
      </c>
      <c r="C67" t="s">
        <v>200</v>
      </c>
      <c r="D67" t="s">
        <v>130</v>
      </c>
      <c r="E67" t="s">
        <v>34</v>
      </c>
      <c r="F67" s="2">
        <v>45833.753408423247</v>
      </c>
      <c r="G67" s="2">
        <v>45867.753408423247</v>
      </c>
      <c r="H67">
        <v>2245.9499999999998</v>
      </c>
      <c r="I67" t="s">
        <v>65</v>
      </c>
      <c r="J67" t="s">
        <v>419</v>
      </c>
      <c r="K67">
        <v>34</v>
      </c>
    </row>
    <row r="68" spans="1:11" x14ac:dyDescent="0.35">
      <c r="A68" t="s">
        <v>561</v>
      </c>
      <c r="B68" t="s">
        <v>562</v>
      </c>
      <c r="C68" t="s">
        <v>45</v>
      </c>
      <c r="D68" t="s">
        <v>563</v>
      </c>
      <c r="E68" t="s">
        <v>26</v>
      </c>
      <c r="F68" s="2">
        <v>45912.753408423247</v>
      </c>
      <c r="G68" s="2">
        <v>45968.753408423247</v>
      </c>
      <c r="H68">
        <v>30435.58</v>
      </c>
      <c r="I68" t="s">
        <v>27</v>
      </c>
      <c r="J68" t="s">
        <v>439</v>
      </c>
      <c r="K68">
        <v>56</v>
      </c>
    </row>
    <row r="69" spans="1:11" x14ac:dyDescent="0.35">
      <c r="A69" t="s">
        <v>564</v>
      </c>
      <c r="B69" t="s">
        <v>565</v>
      </c>
      <c r="C69" t="s">
        <v>45</v>
      </c>
      <c r="D69" t="s">
        <v>566</v>
      </c>
      <c r="E69" t="s">
        <v>64</v>
      </c>
      <c r="F69" s="2">
        <v>46018.753408423247</v>
      </c>
      <c r="G69" s="2">
        <v>46079.753408423247</v>
      </c>
      <c r="H69">
        <v>12971.79</v>
      </c>
      <c r="I69" t="s">
        <v>65</v>
      </c>
      <c r="J69" t="s">
        <v>414</v>
      </c>
      <c r="K69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defaultRowHeight="14.5" x14ac:dyDescent="0.35"/>
  <sheetData>
    <row r="1" spans="1:6" x14ac:dyDescent="0.35">
      <c r="A1" s="1" t="s">
        <v>18</v>
      </c>
      <c r="B1" s="1" t="s">
        <v>567</v>
      </c>
      <c r="C1" s="1" t="s">
        <v>568</v>
      </c>
      <c r="D1" s="1" t="s">
        <v>569</v>
      </c>
      <c r="E1" s="1" t="s">
        <v>570</v>
      </c>
      <c r="F1" s="1" t="s">
        <v>571</v>
      </c>
    </row>
    <row r="2" spans="1:6" x14ac:dyDescent="0.35">
      <c r="A2" s="1" t="s">
        <v>27</v>
      </c>
      <c r="B2">
        <v>72</v>
      </c>
      <c r="C2">
        <v>36</v>
      </c>
      <c r="D2">
        <v>1220920.3</v>
      </c>
      <c r="E2">
        <v>16957.23</v>
      </c>
      <c r="F2">
        <v>30.56</v>
      </c>
    </row>
    <row r="3" spans="1:6" x14ac:dyDescent="0.35">
      <c r="A3" s="1" t="s">
        <v>65</v>
      </c>
      <c r="B3">
        <v>45</v>
      </c>
      <c r="C3">
        <v>22.5</v>
      </c>
      <c r="D3">
        <v>741115.05</v>
      </c>
      <c r="E3">
        <v>16469.22</v>
      </c>
      <c r="F3">
        <v>40</v>
      </c>
    </row>
    <row r="4" spans="1:6" x14ac:dyDescent="0.35">
      <c r="A4" s="1" t="s">
        <v>71</v>
      </c>
      <c r="B4">
        <v>37</v>
      </c>
      <c r="C4">
        <v>18.5</v>
      </c>
      <c r="D4">
        <v>639161.36</v>
      </c>
      <c r="E4">
        <v>17274.63</v>
      </c>
      <c r="F4">
        <v>35.14</v>
      </c>
    </row>
    <row r="5" spans="1:6" x14ac:dyDescent="0.35">
      <c r="A5" s="1" t="s">
        <v>52</v>
      </c>
      <c r="B5">
        <v>24</v>
      </c>
      <c r="C5">
        <v>12</v>
      </c>
      <c r="D5">
        <v>338286.55</v>
      </c>
      <c r="E5">
        <v>14095.27</v>
      </c>
      <c r="F5">
        <v>33.33</v>
      </c>
    </row>
    <row r="6" spans="1:6" x14ac:dyDescent="0.35">
      <c r="A6" s="1" t="s">
        <v>58</v>
      </c>
      <c r="B6">
        <v>16</v>
      </c>
      <c r="C6">
        <v>8</v>
      </c>
      <c r="D6">
        <v>298308.32</v>
      </c>
      <c r="E6">
        <v>18644.27</v>
      </c>
      <c r="F6">
        <v>31.25</v>
      </c>
    </row>
    <row r="7" spans="1:6" x14ac:dyDescent="0.35">
      <c r="A7" s="1" t="s">
        <v>42</v>
      </c>
      <c r="B7">
        <v>6</v>
      </c>
      <c r="C7">
        <v>3</v>
      </c>
      <c r="D7">
        <v>86144.37</v>
      </c>
      <c r="E7">
        <v>14357.39</v>
      </c>
      <c r="F7">
        <v>33.33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/>
  </sheetViews>
  <sheetFormatPr defaultRowHeight="14.5" x14ac:dyDescent="0.35"/>
  <sheetData>
    <row r="1" spans="1:5" x14ac:dyDescent="0.35">
      <c r="A1" s="1" t="s">
        <v>19</v>
      </c>
      <c r="B1" s="1" t="s">
        <v>567</v>
      </c>
      <c r="C1" s="1" t="s">
        <v>569</v>
      </c>
      <c r="D1" s="1" t="s">
        <v>570</v>
      </c>
      <c r="E1" s="1" t="s">
        <v>572</v>
      </c>
    </row>
    <row r="2" spans="1:5" x14ac:dyDescent="0.35">
      <c r="A2" s="1" t="s">
        <v>35</v>
      </c>
      <c r="B2">
        <v>16</v>
      </c>
      <c r="C2">
        <v>251909.08</v>
      </c>
      <c r="D2">
        <v>15744.32</v>
      </c>
      <c r="E2">
        <v>7.58</v>
      </c>
    </row>
    <row r="3" spans="1:5" x14ac:dyDescent="0.35">
      <c r="A3" s="1" t="s">
        <v>28</v>
      </c>
      <c r="B3">
        <v>89</v>
      </c>
      <c r="C3">
        <v>1358152.77</v>
      </c>
      <c r="D3">
        <v>15260.14</v>
      </c>
      <c r="E3">
        <v>40.86</v>
      </c>
    </row>
    <row r="4" spans="1:5" x14ac:dyDescent="0.35">
      <c r="A4" s="1" t="s">
        <v>573</v>
      </c>
      <c r="B4">
        <v>68</v>
      </c>
      <c r="C4">
        <v>1209906.71</v>
      </c>
      <c r="D4">
        <v>17792.75</v>
      </c>
      <c r="E4">
        <v>36.4</v>
      </c>
    </row>
    <row r="5" spans="1:5" x14ac:dyDescent="0.35">
      <c r="A5" s="1" t="s">
        <v>59</v>
      </c>
      <c r="B5">
        <v>27</v>
      </c>
      <c r="C5">
        <v>503967.39</v>
      </c>
      <c r="D5">
        <v>18665.46</v>
      </c>
      <c r="E5">
        <v>15.16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/>
  </sheetViews>
  <sheetFormatPr defaultRowHeight="14.5" x14ac:dyDescent="0.35"/>
  <sheetData>
    <row r="1" spans="1:4" x14ac:dyDescent="0.35">
      <c r="A1" s="1" t="s">
        <v>574</v>
      </c>
      <c r="B1" s="1" t="s">
        <v>575</v>
      </c>
      <c r="C1" s="1" t="s">
        <v>576</v>
      </c>
      <c r="D1" s="1" t="s">
        <v>569</v>
      </c>
    </row>
    <row r="2" spans="1:4" x14ac:dyDescent="0.35">
      <c r="A2" s="3">
        <v>45809</v>
      </c>
      <c r="B2">
        <v>4</v>
      </c>
      <c r="C2">
        <v>3</v>
      </c>
      <c r="D2">
        <v>52269.19</v>
      </c>
    </row>
    <row r="3" spans="1:4" x14ac:dyDescent="0.35">
      <c r="A3" s="3">
        <v>45839</v>
      </c>
      <c r="B3">
        <v>21</v>
      </c>
      <c r="C3">
        <v>17</v>
      </c>
      <c r="D3">
        <v>371107.06</v>
      </c>
    </row>
    <row r="4" spans="1:4" x14ac:dyDescent="0.35">
      <c r="A4" s="3">
        <v>45870</v>
      </c>
      <c r="B4">
        <v>27</v>
      </c>
      <c r="C4">
        <v>17</v>
      </c>
      <c r="D4">
        <v>438008.68</v>
      </c>
    </row>
    <row r="5" spans="1:4" x14ac:dyDescent="0.35">
      <c r="A5" s="3">
        <v>45901</v>
      </c>
      <c r="B5">
        <v>26</v>
      </c>
      <c r="C5">
        <v>18</v>
      </c>
      <c r="D5">
        <v>390950.49</v>
      </c>
    </row>
    <row r="6" spans="1:4" x14ac:dyDescent="0.35">
      <c r="A6" s="3">
        <v>45931</v>
      </c>
      <c r="B6">
        <v>43</v>
      </c>
      <c r="C6">
        <v>27</v>
      </c>
      <c r="D6">
        <v>657894.18000000005</v>
      </c>
    </row>
    <row r="7" spans="1:4" x14ac:dyDescent="0.35">
      <c r="A7" s="3">
        <v>45962</v>
      </c>
      <c r="B7">
        <v>32</v>
      </c>
      <c r="C7">
        <v>20</v>
      </c>
      <c r="D7">
        <v>732015.57</v>
      </c>
    </row>
    <row r="8" spans="1:4" x14ac:dyDescent="0.35">
      <c r="A8" s="3">
        <v>45992</v>
      </c>
      <c r="B8">
        <v>38</v>
      </c>
      <c r="C8">
        <v>26</v>
      </c>
      <c r="D8">
        <v>522838.19</v>
      </c>
    </row>
    <row r="9" spans="1:4" x14ac:dyDescent="0.35">
      <c r="A9" s="3">
        <v>46023</v>
      </c>
      <c r="B9">
        <v>9</v>
      </c>
      <c r="C9">
        <v>4</v>
      </c>
      <c r="D9">
        <v>158852.59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Open_Disputes</vt:lpstr>
      <vt:lpstr>Resolved_Disputes</vt:lpstr>
      <vt:lpstr>Root_Cause_Analysis</vt:lpstr>
      <vt:lpstr>Status_Analysis</vt:lpstr>
      <vt:lpstr>Monthly_Trends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superadmin</cp:lastModifiedBy>
  <dcterms:created xsi:type="dcterms:W3CDTF">2025-12-06T15:04:56Z</dcterms:created>
  <dcterms:modified xsi:type="dcterms:W3CDTF">2025-12-06T15:11:34Z</dcterms:modified>
</cp:coreProperties>
</file>